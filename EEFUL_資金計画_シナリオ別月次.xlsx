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前提" sheetId="2" state="visible" r:id="rId2"/>
    <sheet name="案件一覧" sheetId="3" state="visible" r:id="rId3"/>
    <sheet name="手出し内訳" sheetId="4" state="visible" r:id="rId4"/>
    <sheet name="S1" sheetId="5" state="visible" r:id="rId5"/>
    <sheet name="S2" sheetId="6" state="visible" r:id="rId6"/>
    <sheet name="S3" sheetId="7" state="visible" r:id="rId7"/>
    <sheet name="S4" sheetId="8" state="visible" r:id="rId8"/>
    <sheet name="S5" sheetId="9" state="visible" r:id="rId9"/>
    <sheet name="月次実績2026" sheetId="10" state="visible" r:id="rId10"/>
  </sheets>
  <definedNames/>
  <calcPr calcId="124519" fullCalcOnLoad="1"/>
</workbook>
</file>

<file path=xl/styles.xml><?xml version="1.0" encoding="utf-8"?>
<styleSheet xmlns="http://schemas.openxmlformats.org/spreadsheetml/2006/main">
  <numFmts count="2">
    <numFmt numFmtId="164" formatCode="#,##0.0;▲#,##0.0;&quot;-&quot;"/>
    <numFmt numFmtId="165" formatCode="#,##0;▲#,##0;&quot;-&quot;"/>
  </numFmts>
  <fonts count="9">
    <font>
      <name val="Calibri"/>
      <family val="2"/>
      <color theme="1"/>
      <sz val="11"/>
      <scheme val="minor"/>
    </font>
    <font>
      <name val="Arial"/>
      <b val="1"/>
      <sz val="13"/>
    </font>
    <font>
      <name val="Arial"/>
      <color rgb="000000FF"/>
    </font>
    <font>
      <name val="Arial"/>
      <i val="1"/>
      <sz val="9"/>
    </font>
    <font>
      <name val="Arial"/>
      <b val="1"/>
      <color rgb="00FFFFFF"/>
    </font>
    <font>
      <name val="Arial"/>
      <b val="1"/>
    </font>
    <font>
      <name val="Arial"/>
    </font>
    <font>
      <name val="Arial"/>
      <color rgb="00008000"/>
    </font>
    <font>
      <name val="Arial"/>
      <b val="1"/>
      <sz val="14"/>
    </font>
  </fonts>
  <fills count="6">
    <fill>
      <patternFill/>
    </fill>
    <fill>
      <patternFill patternType="gray125"/>
    </fill>
    <fill>
      <patternFill patternType="solid">
        <fgColor rgb="00FFFF00"/>
      </patternFill>
    </fill>
    <fill>
      <patternFill patternType="solid">
        <fgColor rgb="001B4D7E"/>
      </patternFill>
    </fill>
    <fill>
      <patternFill patternType="solid">
        <fgColor rgb="00D9E2EC"/>
      </patternFill>
    </fill>
    <fill>
      <patternFill patternType="solid">
        <fgColor rgb="00E3ECF5"/>
      </patternFill>
    </fill>
  </fills>
  <borders count="1">
    <border>
      <left/>
      <right/>
      <top/>
      <bottom/>
      <diagonal/>
    </border>
  </borders>
  <cellStyleXfs count="1">
    <xf numFmtId="0" fontId="0" fillId="0" borderId="0"/>
  </cellStyleXfs>
  <cellXfs count="28">
    <xf numFmtId="0" fontId="0" fillId="0" borderId="0" pivotButton="0" quotePrefix="0" xfId="0"/>
    <xf numFmtId="0" fontId="8"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5" fillId="0" borderId="0" pivotButton="0" quotePrefix="0" xfId="0"/>
    <xf numFmtId="0" fontId="7" fillId="0" borderId="0" pivotButton="0" quotePrefix="0" xfId="0"/>
    <xf numFmtId="0" fontId="6" fillId="0" borderId="0" pivotButton="0" quotePrefix="0" xfId="0"/>
    <xf numFmtId="164" fontId="7" fillId="0" borderId="0" applyAlignment="1" pivotButton="0" quotePrefix="0" xfId="0">
      <alignment horizontal="right"/>
    </xf>
    <xf numFmtId="0" fontId="7" fillId="0" borderId="0" applyAlignment="1" pivotButton="0" quotePrefix="0" xfId="0">
      <alignment horizontal="right"/>
    </xf>
    <xf numFmtId="165" fontId="7" fillId="0" borderId="0" applyAlignment="1" pivotButton="0" quotePrefix="0" xfId="0">
      <alignment horizontal="right"/>
    </xf>
    <xf numFmtId="165" fontId="2" fillId="0" borderId="0" pivotButton="0" quotePrefix="0" xfId="0"/>
    <xf numFmtId="0" fontId="2" fillId="0" borderId="0" pivotButton="0" quotePrefix="0" xfId="0"/>
    <xf numFmtId="164" fontId="7" fillId="0" borderId="0" pivotButton="0" quotePrefix="0" xfId="0"/>
    <xf numFmtId="9" fontId="2" fillId="0" borderId="0" pivotButton="0" quotePrefix="0" xfId="0"/>
    <xf numFmtId="0" fontId="1" fillId="0" borderId="0" pivotButton="0" quotePrefix="0" xfId="0"/>
    <xf numFmtId="164" fontId="2" fillId="0" borderId="0" pivotButton="0" quotePrefix="0" xfId="0"/>
    <xf numFmtId="164" fontId="2" fillId="2" borderId="0" pivotButton="0" quotePrefix="0" xfId="0"/>
    <xf numFmtId="164" fontId="0" fillId="0" borderId="0" pivotButton="0" quotePrefix="0" xfId="0"/>
    <xf numFmtId="0" fontId="2" fillId="0" borderId="0" applyAlignment="1" pivotButton="0" quotePrefix="0" xfId="0">
      <alignment horizontal="center"/>
    </xf>
    <xf numFmtId="0" fontId="6" fillId="0" borderId="0" applyAlignment="1" pivotButton="0" quotePrefix="0" xfId="0">
      <alignment vertical="top" wrapText="1"/>
    </xf>
    <xf numFmtId="1" fontId="2" fillId="0" borderId="0" pivotButton="0" quotePrefix="0" xfId="0"/>
    <xf numFmtId="164" fontId="5" fillId="0" borderId="0" pivotButton="0" quotePrefix="0" xfId="0"/>
    <xf numFmtId="164" fontId="5" fillId="4" borderId="0" pivotButton="0" quotePrefix="0" xfId="0"/>
    <xf numFmtId="0" fontId="2" fillId="2" borderId="0" applyAlignment="1" pivotButton="0" quotePrefix="0" xfId="0">
      <alignment horizontal="center"/>
    </xf>
    <xf numFmtId="164" fontId="6" fillId="0" borderId="0" pivotButton="0" quotePrefix="0" xfId="0"/>
    <xf numFmtId="164" fontId="5" fillId="5" borderId="0" pivotButton="0" quotePrefix="0" xfId="0"/>
    <xf numFmtId="164" fontId="6" fillId="4" borderId="0" pivotButton="0" quotePrefix="0" xfId="0"/>
    <xf numFmtId="165"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HD 期末現預金の推移（百万円）</a:t>
            </a:r>
          </a:p>
        </rich>
      </tx>
    </title>
    <plotArea>
      <lineChart>
        <grouping val="standard"/>
        <ser>
          <idx val="0"/>
          <order val="0"/>
          <tx>
            <v>S1 基本（確定4件＋HT実行済）</v>
          </tx>
          <spPr>
            <a:ln>
              <a:prstDash val="solid"/>
            </a:ln>
          </spPr>
          <marker>
            <symbol val="none"/>
            <spPr>
              <a:ln>
                <a:prstDash val="solid"/>
              </a:ln>
            </spPr>
          </marker>
          <cat>
            <numRef>
              <f>'サマリー'!$D$22:$S$22</f>
            </numRef>
          </cat>
          <val>
            <numRef>
              <f>'サマリー'!$D$23:$S$23</f>
            </numRef>
          </val>
        </ser>
        <ser>
          <idx val="1"/>
          <order val="1"/>
          <tx>
            <v>S2 基本＋ワイズケア</v>
          </tx>
          <spPr>
            <a:ln>
              <a:prstDash val="solid"/>
            </a:ln>
          </spPr>
          <marker>
            <symbol val="none"/>
            <spPr>
              <a:ln>
                <a:prstDash val="solid"/>
              </a:ln>
            </spPr>
          </marker>
          <cat>
            <numRef>
              <f>'サマリー'!$D$22:$S$22</f>
            </numRef>
          </cat>
          <val>
            <numRef>
              <f>'サマリー'!$D$24:$S$24</f>
            </numRef>
          </val>
        </ser>
        <ser>
          <idx val="2"/>
          <order val="2"/>
          <tx>
            <v>S3 基本＋エーステイスト</v>
          </tx>
          <spPr>
            <a:ln>
              <a:prstDash val="solid"/>
            </a:ln>
          </spPr>
          <marker>
            <symbol val="none"/>
            <spPr>
              <a:ln>
                <a:prstDash val="solid"/>
              </a:ln>
            </spPr>
          </marker>
          <cat>
            <numRef>
              <f>'サマリー'!$D$22:$S$22</f>
            </numRef>
          </cat>
          <val>
            <numRef>
              <f>'サマリー'!$D$25:$S$25</f>
            </numRef>
          </val>
        </ser>
        <ser>
          <idx val="3"/>
          <order val="3"/>
          <tx>
            <v>S4 基本＋ワイズ＋エース</v>
          </tx>
          <spPr>
            <a:ln>
              <a:prstDash val="solid"/>
            </a:ln>
          </spPr>
          <marker>
            <symbol val="none"/>
            <spPr>
              <a:ln>
                <a:prstDash val="solid"/>
              </a:ln>
            </spPr>
          </marker>
          <cat>
            <numRef>
              <f>'サマリー'!$D$22:$S$22</f>
            </numRef>
          </cat>
          <val>
            <numRef>
              <f>'サマリー'!$D$26:$S$26</f>
            </numRef>
          </val>
        </ser>
        <ser>
          <idx val="4"/>
          <order val="4"/>
          <tx>
            <v>S5 全件（＋日本経営C＋セレサ）</v>
          </tx>
          <spPr>
            <a:ln>
              <a:prstDash val="solid"/>
            </a:ln>
          </spPr>
          <marker>
            <symbol val="none"/>
            <spPr>
              <a:ln>
                <a:prstDash val="solid"/>
              </a:ln>
            </spPr>
          </marker>
          <cat>
            <numRef>
              <f>'サマリー'!$D$22:$S$22</f>
            </numRef>
          </cat>
          <val>
            <numRef>
              <f>'サマリー'!$D$27:$S$27</f>
            </numRef>
          </val>
        </ser>
        <ser>
          <idx val="5"/>
          <order val="5"/>
          <tx>
            <v>安全水準</v>
          </tx>
          <spPr>
            <a:ln>
              <a:prstDash val="dash"/>
            </a:ln>
          </spPr>
          <marker>
            <symbol val="none"/>
            <spPr>
              <a:ln>
                <a:prstDash val="solid"/>
              </a:ln>
            </spPr>
          </marker>
          <cat>
            <numRef>
              <f>'サマリー'!$D$22:$S$22</f>
            </numRef>
          </cat>
          <val>
            <numRef>
              <f>'サマリー'!$D$28:$S$28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百万円</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Net Debt Capacity の推移（百万円・調達前）</a:t>
            </a:r>
          </a:p>
        </rich>
      </tx>
    </title>
    <plotArea>
      <lineChart>
        <grouping val="standard"/>
        <ser>
          <idx val="0"/>
          <order val="0"/>
          <tx>
            <v>S1 基本（確定4件＋HT実行済）</v>
          </tx>
          <spPr>
            <a:ln>
              <a:prstDash val="solid"/>
            </a:ln>
          </spPr>
          <marker>
            <symbol val="none"/>
            <spPr>
              <a:ln>
                <a:prstDash val="solid"/>
              </a:ln>
            </spPr>
          </marker>
          <cat>
            <numRef>
              <f>'サマリー'!$D$39:$S$39</f>
            </numRef>
          </cat>
          <val>
            <numRef>
              <f>'サマリー'!$D$40:$S$40</f>
            </numRef>
          </val>
        </ser>
        <ser>
          <idx val="1"/>
          <order val="1"/>
          <tx>
            <v>S2 基本＋ワイズケア</v>
          </tx>
          <spPr>
            <a:ln>
              <a:prstDash val="solid"/>
            </a:ln>
          </spPr>
          <marker>
            <symbol val="none"/>
            <spPr>
              <a:ln>
                <a:prstDash val="solid"/>
              </a:ln>
            </spPr>
          </marker>
          <cat>
            <numRef>
              <f>'サマリー'!$D$39:$S$39</f>
            </numRef>
          </cat>
          <val>
            <numRef>
              <f>'サマリー'!$D$41:$S$41</f>
            </numRef>
          </val>
        </ser>
        <ser>
          <idx val="2"/>
          <order val="2"/>
          <tx>
            <v>S3 基本＋エーステイスト</v>
          </tx>
          <spPr>
            <a:ln>
              <a:prstDash val="solid"/>
            </a:ln>
          </spPr>
          <marker>
            <symbol val="none"/>
            <spPr>
              <a:ln>
                <a:prstDash val="solid"/>
              </a:ln>
            </spPr>
          </marker>
          <cat>
            <numRef>
              <f>'サマリー'!$D$39:$S$39</f>
            </numRef>
          </cat>
          <val>
            <numRef>
              <f>'サマリー'!$D$42:$S$42</f>
            </numRef>
          </val>
        </ser>
        <ser>
          <idx val="3"/>
          <order val="3"/>
          <tx>
            <v>S4 基本＋ワイズ＋エース</v>
          </tx>
          <spPr>
            <a:ln>
              <a:prstDash val="solid"/>
            </a:ln>
          </spPr>
          <marker>
            <symbol val="none"/>
            <spPr>
              <a:ln>
                <a:prstDash val="solid"/>
              </a:ln>
            </spPr>
          </marker>
          <cat>
            <numRef>
              <f>'サマリー'!$D$39:$S$39</f>
            </numRef>
          </cat>
          <val>
            <numRef>
              <f>'サマリー'!$D$43:$S$43</f>
            </numRef>
          </val>
        </ser>
        <ser>
          <idx val="4"/>
          <order val="4"/>
          <tx>
            <v>S5 全件（＋日本経営C＋セレサ）</v>
          </tx>
          <spPr>
            <a:ln>
              <a:prstDash val="solid"/>
            </a:ln>
          </spPr>
          <marker>
            <symbol val="none"/>
            <spPr>
              <a:ln>
                <a:prstDash val="solid"/>
              </a:ln>
            </spPr>
          </marker>
          <cat>
            <numRef>
              <f>'サマリー'!$D$39:$S$39</f>
            </numRef>
          </cat>
          <val>
            <numRef>
              <f>'サマリー'!$D$44:$S$44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EEFUL</author>
  </authors>
  <commentList>
    <comment ref="B3" authorId="0" shapeId="0">
      <text>
        <t>出所：freee 8月末試算表（EEFUL HD）。9/11のHT残株取得30は下表で9月支出として計上</t>
      </text>
    </comment>
    <comment ref="B4" authorId="0" shapeId="0">
      <text>
        <t>半年分のHD運営費＋HT一時支援余力として1億円を仮置き（当社判断値）</t>
      </text>
    </comment>
    <comment ref="D11" authorId="0" shapeId="0">
      <text>
        <t>1〜8月実績：HD調整後営業損失 月▲1〜2、現金減少 月▲9（DD費用・HT支援含む）。当社仮置き</t>
      </text>
    </comment>
    <comment ref="B56" authorId="0" shapeId="0">
      <text>
        <t>2026年は7月YTD年換算32から計画達成で39へ、2027年はHT年換算69・HD▲9で60を仮置き</t>
      </text>
    </comment>
  </commentList>
</comments>
</file>

<file path=xl/comments/comment2.xml><?xml version="1.0" encoding="utf-8"?>
<comments xmlns="http://schemas.openxmlformats.org/spreadsheetml/2006/main">
  <authors>
    <author>EEFUL</author>
  </authors>
  <commentList>
    <comment ref="D4" authorId="0" shapeId="0">
      <text>
        <t>売上・EBITDAは各案件の直近実績（現状）と改善後（確信度8割・8/24議事録ほか）。日本経営センターは親族継続12／退任後32（Slack 9/17）</t>
      </text>
    </comment>
    <comment ref="M4" authorId="0" shapeId="0">
      <text>
        <t>Net Debt Capacity用。99＝該当なし。売掛金は介護報酬2ヶ月サイト（給食は1.5ヶ月）、残置現金は退職金・配当支払後の見込み</t>
      </text>
    </comment>
  </commentList>
</comments>
</file>

<file path=xl/comments/comment3.xml><?xml version="1.0" encoding="utf-8"?>
<comments xmlns="http://schemas.openxmlformats.org/spreadsheetml/2006/main">
  <authors>
    <author>EEFUL</author>
  </authors>
  <commentList>
    <comment ref="C12" authorId="0" shapeId="0">
      <text>
        <t>8月は未確定のため1〜7月の合計</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46</row>
      <rowOff>0</rowOff>
    </from>
    <ext cx="100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66</row>
      <rowOff>0</rowOff>
    </from>
    <ext cx="100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S9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4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c r="A1" s="1" t="inlineStr">
        <is>
          <t>資金計画サマリー — シナリオ別（EEFUL HD単体・百万円・2026/9〜2027/12）</t>
        </is>
      </c>
    </row>
    <row r="2">
      <c r="A2" s="2" t="inlineStr">
        <is>
          <t>各シナリオシートのモード（現行／最小化）・実行フラグ、前提シートの入力値を変えると自動で再計算。緑字＝他シート参照。初期設定は全シナリオ「最小化」モード</t>
        </is>
      </c>
    </row>
    <row r="4" ht="48" customHeight="1">
      <c r="A4" s="3" t="inlineStr">
        <is>
          <t>シナリオ</t>
        </is>
      </c>
      <c r="B4" s="3" t="inlineStr">
        <is>
          <t>モード</t>
        </is>
      </c>
      <c r="C4" s="3" t="inlineStr">
        <is>
          <t>実行案件</t>
        </is>
      </c>
      <c r="D4" s="3" t="inlineStr">
        <is>
          <t>総支出（案件・16ヶ月）</t>
        </is>
      </c>
      <c r="E4" s="3" t="inlineStr">
        <is>
          <t>最低残高</t>
        </is>
      </c>
      <c r="F4" s="3" t="inlineStr">
        <is>
          <t>最低残高の月</t>
        </is>
      </c>
      <c r="G4" s="3" t="inlineStr">
        <is>
          <t>初めて安全水準を割る月</t>
        </is>
      </c>
      <c r="H4" s="3" t="inlineStr">
        <is>
          <t>必要調達額（2027/12まで）</t>
        </is>
      </c>
      <c r="I4" s="3" t="inlineStr">
        <is>
          <t>2026/11までの不足</t>
        </is>
      </c>
      <c r="J4" s="3" t="inlineStr">
        <is>
          <t>2027/1までの不足</t>
        </is>
      </c>
      <c r="K4" s="3" t="inlineStr">
        <is>
          <t>2027/3までの不足</t>
        </is>
      </c>
      <c r="L4" s="3" t="inlineStr">
        <is>
          <t>2027/12 期末現預金</t>
        </is>
      </c>
      <c r="M4" s="3" t="inlineStr">
        <is>
          <t>年換算売上（オーガニック＋実行案件）</t>
        </is>
      </c>
      <c r="N4" s="3" t="inlineStr">
        <is>
          <t>年換算 調整後EBITDA（現状）</t>
        </is>
      </c>
      <c r="O4" s="3" t="inlineStr">
        <is>
          <t>年換算 調整後EBITDA（改善後）</t>
        </is>
      </c>
      <c r="P4" s="3" t="inlineStr">
        <is>
          <t>承継・残置負債</t>
        </is>
      </c>
      <c r="Q4" s="3" t="inlineStr">
        <is>
          <t>Net Debt Capacity 2026/12</t>
        </is>
      </c>
      <c r="R4" s="3" t="inlineStr">
        <is>
          <t>Net Debt Capacity 2027/12</t>
        </is>
      </c>
      <c r="S4" s="3" t="inlineStr">
        <is>
          <t>2027/12 有利子負債（調達前）</t>
        </is>
      </c>
    </row>
    <row r="5">
      <c r="A5" s="4" t="inlineStr">
        <is>
          <t>S1 基本（確定4件＋HT実行済）</t>
        </is>
      </c>
      <c r="B5" s="5" t="str">
        <f>S1!$B$3</f>
        <v>最小化</v>
      </c>
      <c r="C5" s="6" t="inlineStr">
        <is>
          <t>メディプロ、ヒューマンアイ、シルバーメディカル、クレッシェンド</t>
        </is>
      </c>
      <c r="D5" s="7">
        <f>S1!$B$46</f>
        <v>253.7</v>
      </c>
      <c r="E5" s="7">
        <f>S1!$B$47</f>
        <v>24.6</v>
      </c>
      <c r="F5" s="8" t="str">
        <f>S1!$B$48</f>
        <v>2027/12</v>
      </c>
      <c r="G5" s="8" t="str">
        <f>S1!$B$49</f>
        <v>2026/12</v>
      </c>
      <c r="H5" s="7">
        <f>S1!$B$50</f>
        <v>75.4</v>
      </c>
      <c r="I5" s="7">
        <f>S1!$B$51</f>
        <v>0</v>
      </c>
      <c r="J5" s="7">
        <f>S1!$B$52</f>
        <v>8.4</v>
      </c>
      <c r="K5" s="7">
        <f>S1!$B$53</f>
        <v>30.4</v>
      </c>
      <c r="L5" s="7">
        <f>S1!$B$54</f>
        <v>24.6</v>
      </c>
      <c r="M5" s="9">
        <f>S1!$B$55</f>
        <v>2435</v>
      </c>
      <c r="N5" s="9">
        <f>S1!$B$56</f>
        <v>83</v>
      </c>
      <c r="O5" s="9">
        <f>S1!$B$57</f>
        <v>140</v>
      </c>
      <c r="P5" s="7">
        <f>S1!$B$58</f>
        <v>127.85</v>
      </c>
      <c r="Q5" s="7">
        <f>S1!$B$59</f>
        <v>348.2</v>
      </c>
      <c r="R5" s="7">
        <f>S1!$B$60</f>
        <v>372.5</v>
      </c>
      <c r="S5" s="7">
        <f>S1!$B$61</f>
        <v>515.1</v>
      </c>
    </row>
    <row r="6">
      <c r="A6" s="4" t="inlineStr">
        <is>
          <t>S2 基本＋ワイズケア</t>
        </is>
      </c>
      <c r="B6" s="5" t="str">
        <f>S2!$B$3</f>
        <v>最小化</v>
      </c>
      <c r="C6" s="6" t="inlineStr">
        <is>
          <t>メディプロ、ヒューマンアイ、シルバーメディカル、クレッシェンド、ワイズケア</t>
        </is>
      </c>
      <c r="D6" s="7">
        <f>S2!$B$46</f>
        <v>389.7</v>
      </c>
      <c r="E6" s="7">
        <f>S2!$B$47</f>
        <v>-111.4</v>
      </c>
      <c r="F6" s="8" t="str">
        <f>S2!$B$48</f>
        <v>2027/12</v>
      </c>
      <c r="G6" s="8" t="str">
        <f>S2!$B$49</f>
        <v>2026/11</v>
      </c>
      <c r="H6" s="7">
        <f>S2!$B$50</f>
        <v>211.4</v>
      </c>
      <c r="I6" s="7">
        <f>S2!$B$51</f>
        <v>6.4</v>
      </c>
      <c r="J6" s="7">
        <f>S2!$B$52</f>
        <v>144.4</v>
      </c>
      <c r="K6" s="7">
        <f>S2!$B$53</f>
        <v>166.4</v>
      </c>
      <c r="L6" s="7">
        <f>S2!$B$54</f>
        <v>-111.4</v>
      </c>
      <c r="M6" s="9">
        <f>S2!$B$55</f>
        <v>2920</v>
      </c>
      <c r="N6" s="9">
        <f>S2!$B$56</f>
        <v>121</v>
      </c>
      <c r="O6" s="9">
        <f>S2!$B$57</f>
        <v>206</v>
      </c>
      <c r="P6" s="7">
        <f>S2!$B$58</f>
        <v>127.85</v>
      </c>
      <c r="Q6" s="7">
        <f>S2!$B$59</f>
        <v>375.2</v>
      </c>
      <c r="R6" s="7">
        <f>S2!$B$60</f>
        <v>399.5</v>
      </c>
      <c r="S6" s="7">
        <f>S2!$B$61</f>
        <v>595.1</v>
      </c>
    </row>
    <row r="7">
      <c r="A7" s="4" t="inlineStr">
        <is>
          <t>S3 基本＋エーステイスト</t>
        </is>
      </c>
      <c r="B7" s="5" t="str">
        <f>S3!$B$3</f>
        <v>最小化</v>
      </c>
      <c r="C7" s="6" t="inlineStr">
        <is>
          <t>メディプロ、ヒューマンアイ、シルバーメディカル、クレッシェンド、エーステイスト</t>
        </is>
      </c>
      <c r="D7" s="7">
        <f>S3!$B$46</f>
        <v>328.2</v>
      </c>
      <c r="E7" s="7">
        <f>S3!$B$47</f>
        <v>-49.9</v>
      </c>
      <c r="F7" s="8" t="str">
        <f>S3!$B$48</f>
        <v>2027/12</v>
      </c>
      <c r="G7" s="8" t="str">
        <f>S3!$B$49</f>
        <v>2026/12</v>
      </c>
      <c r="H7" s="7">
        <f>S3!$B$50</f>
        <v>149.9</v>
      </c>
      <c r="I7" s="7">
        <f>S3!$B$51</f>
        <v>0</v>
      </c>
      <c r="J7" s="7">
        <f>S3!$B$52</f>
        <v>82.9</v>
      </c>
      <c r="K7" s="7">
        <f>S3!$B$53</f>
        <v>104.9</v>
      </c>
      <c r="L7" s="7">
        <f>S3!$B$54</f>
        <v>-49.9</v>
      </c>
      <c r="M7" s="9">
        <f>S3!$B$55</f>
        <v>3111</v>
      </c>
      <c r="N7" s="9">
        <f>S3!$B$56</f>
        <v>101</v>
      </c>
      <c r="O7" s="9">
        <f>S3!$B$57</f>
        <v>183</v>
      </c>
      <c r="P7" s="7">
        <f>S3!$B$58</f>
        <v>188.25</v>
      </c>
      <c r="Q7" s="7">
        <f>S3!$B$59</f>
        <v>380.4</v>
      </c>
      <c r="R7" s="7">
        <f>S3!$B$60</f>
        <v>404.6</v>
      </c>
      <c r="S7" s="7">
        <f>S3!$B$61</f>
        <v>575.5</v>
      </c>
    </row>
    <row r="8">
      <c r="A8" s="4" t="inlineStr">
        <is>
          <t>S4 基本＋ワイズ＋エース</t>
        </is>
      </c>
      <c r="B8" s="5" t="str">
        <f>S4!$B$3</f>
        <v>最小化</v>
      </c>
      <c r="C8" s="6" t="inlineStr">
        <is>
          <t>メディプロ、ヒューマンアイ、シルバーメディカル、クレッシェンド、ワイズケア、エーステイスト</t>
        </is>
      </c>
      <c r="D8" s="7">
        <f>S4!$B$46</f>
        <v>464.2</v>
      </c>
      <c r="E8" s="7">
        <f>S4!$B$47</f>
        <v>-185.9</v>
      </c>
      <c r="F8" s="8" t="str">
        <f>S4!$B$48</f>
        <v>2027/12</v>
      </c>
      <c r="G8" s="8" t="str">
        <f>S4!$B$49</f>
        <v>2026/11</v>
      </c>
      <c r="H8" s="7">
        <f>S4!$B$50</f>
        <v>285.9</v>
      </c>
      <c r="I8" s="7">
        <f>S4!$B$51</f>
        <v>11.15</v>
      </c>
      <c r="J8" s="7">
        <f>S4!$B$52</f>
        <v>218.9</v>
      </c>
      <c r="K8" s="7">
        <f>S4!$B$53</f>
        <v>240.9</v>
      </c>
      <c r="L8" s="7">
        <f>S4!$B$54</f>
        <v>-185.9</v>
      </c>
      <c r="M8" s="9">
        <f>S4!$B$55</f>
        <v>3596</v>
      </c>
      <c r="N8" s="9">
        <f>S4!$B$56</f>
        <v>139</v>
      </c>
      <c r="O8" s="9">
        <f>S4!$B$57</f>
        <v>249</v>
      </c>
      <c r="P8" s="7">
        <f>S4!$B$58</f>
        <v>188.25</v>
      </c>
      <c r="Q8" s="7">
        <f>S4!$B$59</f>
        <v>407.3</v>
      </c>
      <c r="R8" s="7">
        <f>S4!$B$60</f>
        <v>431.5</v>
      </c>
      <c r="S8" s="7">
        <f>S4!$B$61</f>
        <v>655.5</v>
      </c>
    </row>
    <row r="9">
      <c r="A9" s="4" t="inlineStr">
        <is>
          <t>S5 全件（＋日本経営C＋セレサ）</t>
        </is>
      </c>
      <c r="B9" s="5" t="str">
        <f>S5!$B$3</f>
        <v>最小化</v>
      </c>
      <c r="C9" s="6" t="inlineStr">
        <is>
          <t>メディプロ、ヒューマンアイ、クレッシェンド、ワイズケア、エーステイスト、日本経営センター、セレサ、シルバーメディカル</t>
        </is>
      </c>
      <c r="D9" s="7">
        <f>S5!$B$46</f>
        <v>614.3</v>
      </c>
      <c r="E9" s="7">
        <f>S5!$B$47</f>
        <v>-336.0</v>
      </c>
      <c r="F9" s="8" t="str">
        <f>S5!$B$48</f>
        <v>2027/12</v>
      </c>
      <c r="G9" s="8" t="str">
        <f>S5!$B$49</f>
        <v>2026/11</v>
      </c>
      <c r="H9" s="7">
        <f>S5!$B$50</f>
        <v>436.0</v>
      </c>
      <c r="I9" s="7">
        <f>S5!$B$51</f>
        <v>11.15</v>
      </c>
      <c r="J9" s="7">
        <f>S5!$B$52</f>
        <v>311.4</v>
      </c>
      <c r="K9" s="7">
        <f>S5!$B$53</f>
        <v>391.0</v>
      </c>
      <c r="L9" s="7">
        <f>S5!$B$54</f>
        <v>-336.0</v>
      </c>
      <c r="M9" s="9">
        <f>S5!$B$55</f>
        <v>4114</v>
      </c>
      <c r="N9" s="9">
        <f>S5!$B$56</f>
        <v>159</v>
      </c>
      <c r="O9" s="9">
        <f>S5!$B$57</f>
        <v>289</v>
      </c>
      <c r="P9" s="7">
        <f>S5!$B$58</f>
        <v>221.15</v>
      </c>
      <c r="Q9" s="7">
        <f>S5!$B$59</f>
        <v>402.7</v>
      </c>
      <c r="R9" s="7">
        <f>S5!$B$60</f>
        <v>439.6</v>
      </c>
      <c r="S9" s="7">
        <f>S5!$B$61</f>
        <v>688.4</v>
      </c>
    </row>
    <row r="13">
      <c r="A13" s="4" t="inlineStr">
        <is>
          <t>参考：モード別の必要調達額（モデル計算値・値貼付）</t>
        </is>
      </c>
    </row>
    <row r="14">
      <c r="A14" s="3" t="inlineStr">
        <is>
          <t>シナリオ</t>
        </is>
      </c>
      <c r="B14" s="3" t="inlineStr">
        <is>
          <t>総支出（現行）</t>
        </is>
      </c>
      <c r="C14" s="3" t="inlineStr">
        <is>
          <t>必要調達額（現行）</t>
        </is>
      </c>
      <c r="D14" s="3" t="inlineStr">
        <is>
          <t>総支出（最小化）</t>
        </is>
      </c>
      <c r="E14" s="3" t="inlineStr">
        <is>
          <t>必要調達額（最小化）</t>
        </is>
      </c>
      <c r="F14" s="3" t="inlineStr">
        <is>
          <t>初回不足月（最小化）</t>
        </is>
      </c>
      <c r="G14" s="3" t="inlineStr">
        <is>
          <t>年換算売上</t>
        </is>
      </c>
      <c r="H14" s="3" t="inlineStr">
        <is>
          <t>EBITDA現状／改善後</t>
        </is>
      </c>
    </row>
    <row r="15">
      <c r="A15" s="6" t="inlineStr">
        <is>
          <t>S1 基本（確定4件＋HT実行済）</t>
        </is>
      </c>
      <c r="B15" s="10" t="n">
        <v>367.7</v>
      </c>
      <c r="C15" s="10" t="n">
        <v>189</v>
      </c>
      <c r="D15" s="10" t="n">
        <v>253.7</v>
      </c>
      <c r="E15" s="10" t="n">
        <v>75</v>
      </c>
      <c r="F15" s="11" t="inlineStr">
        <is>
          <t>26/12</t>
        </is>
      </c>
      <c r="G15" s="10" t="n">
        <v>2435</v>
      </c>
      <c r="H15" s="6" t="inlineStr">
        <is>
          <t>83 / 140</t>
        </is>
      </c>
    </row>
    <row r="16">
      <c r="A16" s="6" t="inlineStr">
        <is>
          <t>S2 基本＋ワイズケア</t>
        </is>
      </c>
      <c r="B16" s="10" t="n">
        <v>633.7</v>
      </c>
      <c r="C16" s="10" t="n">
        <v>455</v>
      </c>
      <c r="D16" s="10" t="n">
        <v>389.7</v>
      </c>
      <c r="E16" s="10" t="n">
        <v>211</v>
      </c>
      <c r="F16" s="11" t="inlineStr">
        <is>
          <t>26/11</t>
        </is>
      </c>
      <c r="G16" s="10" t="n">
        <v>2920</v>
      </c>
      <c r="H16" s="6" t="inlineStr">
        <is>
          <t>121 / 206</t>
        </is>
      </c>
    </row>
    <row r="17">
      <c r="A17" s="6" t="inlineStr">
        <is>
          <t>S3 基本＋エーステイスト</t>
        </is>
      </c>
      <c r="B17" s="10" t="n">
        <v>442.2</v>
      </c>
      <c r="C17" s="10" t="n">
        <v>264</v>
      </c>
      <c r="D17" s="10" t="n">
        <v>328.2</v>
      </c>
      <c r="E17" s="10" t="n">
        <v>150</v>
      </c>
      <c r="F17" s="11" t="inlineStr">
        <is>
          <t>26/12</t>
        </is>
      </c>
      <c r="G17" s="10" t="n">
        <v>3111</v>
      </c>
      <c r="H17" s="6" t="inlineStr">
        <is>
          <t>101 / 183</t>
        </is>
      </c>
    </row>
    <row r="18">
      <c r="A18" s="6" t="inlineStr">
        <is>
          <t>S4 基本＋ワイズ＋エース</t>
        </is>
      </c>
      <c r="B18" s="10" t="n">
        <v>708.2</v>
      </c>
      <c r="C18" s="10" t="n">
        <v>530</v>
      </c>
      <c r="D18" s="10" t="n">
        <v>464.2</v>
      </c>
      <c r="E18" s="10" t="n">
        <v>286</v>
      </c>
      <c r="F18" s="11" t="inlineStr">
        <is>
          <t>26/11</t>
        </is>
      </c>
      <c r="G18" s="10" t="n">
        <v>3596</v>
      </c>
      <c r="H18" s="6" t="inlineStr">
        <is>
          <t>139 / 249</t>
        </is>
      </c>
    </row>
    <row r="19">
      <c r="A19" s="6" t="inlineStr">
        <is>
          <t>S5 全件（＋日本経営C＋セレサ）</t>
        </is>
      </c>
      <c r="B19" s="10" t="n">
        <v>879.9</v>
      </c>
      <c r="C19" s="10" t="n">
        <v>702</v>
      </c>
      <c r="D19" s="10" t="n">
        <v>614.3</v>
      </c>
      <c r="E19" s="10" t="n">
        <v>436</v>
      </c>
      <c r="F19" s="11" t="inlineStr">
        <is>
          <t>26/11</t>
        </is>
      </c>
      <c r="G19" s="10" t="n">
        <v>4114</v>
      </c>
      <c r="H19" s="6" t="inlineStr">
        <is>
          <t>159 / 289</t>
        </is>
      </c>
    </row>
    <row r="21">
      <c r="A21" s="4" t="inlineStr">
        <is>
          <t>期末現預金の月次推移（シナリオ別・各シートのモードに連動）</t>
        </is>
      </c>
    </row>
    <row r="22">
      <c r="A22" s="3" t="inlineStr">
        <is>
          <t>シナリオ</t>
        </is>
      </c>
      <c r="B22" s="3" t="inlineStr"/>
      <c r="C22" s="3" t="inlineStr"/>
      <c r="D22" s="3" t="inlineStr">
        <is>
          <t>2026/9</t>
        </is>
      </c>
      <c r="E22" s="3" t="inlineStr">
        <is>
          <t>2026/10</t>
        </is>
      </c>
      <c r="F22" s="3" t="inlineStr">
        <is>
          <t>2026/11</t>
        </is>
      </c>
      <c r="G22" s="3" t="inlineStr">
        <is>
          <t>2026/12</t>
        </is>
      </c>
      <c r="H22" s="3" t="inlineStr">
        <is>
          <t>2027/1</t>
        </is>
      </c>
      <c r="I22" s="3" t="inlineStr">
        <is>
          <t>2027/2</t>
        </is>
      </c>
      <c r="J22" s="3" t="inlineStr">
        <is>
          <t>2027/3</t>
        </is>
      </c>
      <c r="K22" s="3" t="inlineStr">
        <is>
          <t>2027/4</t>
        </is>
      </c>
      <c r="L22" s="3" t="inlineStr">
        <is>
          <t>2027/5</t>
        </is>
      </c>
      <c r="M22" s="3" t="inlineStr">
        <is>
          <t>2027/6</t>
        </is>
      </c>
      <c r="N22" s="3" t="inlineStr">
        <is>
          <t>2027/7</t>
        </is>
      </c>
      <c r="O22" s="3" t="inlineStr">
        <is>
          <t>2027/8</t>
        </is>
      </c>
      <c r="P22" s="3" t="inlineStr">
        <is>
          <t>2027/9</t>
        </is>
      </c>
      <c r="Q22" s="3" t="inlineStr">
        <is>
          <t>2027/10</t>
        </is>
      </c>
      <c r="R22" s="3" t="inlineStr">
        <is>
          <t>2027/11</t>
        </is>
      </c>
      <c r="S22" s="3" t="inlineStr">
        <is>
          <t>2027/12</t>
        </is>
      </c>
    </row>
    <row r="23">
      <c r="A23" s="6" t="inlineStr">
        <is>
          <t>S1 基本（確定4件＋HT実行済）</t>
        </is>
      </c>
      <c r="D23" s="12">
        <f>S1!C31</f>
        <v>329.3</v>
      </c>
      <c r="E23" s="12">
        <f>S1!D31</f>
        <v>304.1</v>
      </c>
      <c r="F23" s="12">
        <f>S1!E31</f>
        <v>229.6</v>
      </c>
      <c r="G23" s="12">
        <f>S1!F31</f>
        <v>96.6</v>
      </c>
      <c r="H23" s="12">
        <f>S1!G31</f>
        <v>91.6</v>
      </c>
      <c r="I23" s="12">
        <f>S1!H31</f>
        <v>86.6</v>
      </c>
      <c r="J23" s="12">
        <f>S1!I31</f>
        <v>69.6</v>
      </c>
      <c r="K23" s="12">
        <f>S1!J31</f>
        <v>64.6</v>
      </c>
      <c r="L23" s="12">
        <f>S1!K31</f>
        <v>59.6</v>
      </c>
      <c r="M23" s="12">
        <f>S1!L31</f>
        <v>54.6</v>
      </c>
      <c r="N23" s="12">
        <f>S1!M31</f>
        <v>49.6</v>
      </c>
      <c r="O23" s="12">
        <f>S1!N31</f>
        <v>44.6</v>
      </c>
      <c r="P23" s="12">
        <f>S1!O31</f>
        <v>39.6</v>
      </c>
      <c r="Q23" s="12">
        <f>S1!P31</f>
        <v>34.6</v>
      </c>
      <c r="R23" s="12">
        <f>S1!Q31</f>
        <v>29.6</v>
      </c>
      <c r="S23" s="12">
        <f>S1!R31</f>
        <v>24.6</v>
      </c>
    </row>
    <row r="24">
      <c r="A24" s="6" t="inlineStr">
        <is>
          <t>S2 基本＋ワイズケア</t>
        </is>
      </c>
      <c r="D24" s="12">
        <f>S2!C31</f>
        <v>329.3</v>
      </c>
      <c r="E24" s="12">
        <f>S2!D31</f>
        <v>295.4</v>
      </c>
      <c r="F24" s="12">
        <f>S2!E31</f>
        <v>93.6</v>
      </c>
      <c r="G24" s="12">
        <f>S2!F31</f>
        <v>-39.4</v>
      </c>
      <c r="H24" s="12">
        <f>S2!G31</f>
        <v>-44.4</v>
      </c>
      <c r="I24" s="12">
        <f>S2!H31</f>
        <v>-49.4</v>
      </c>
      <c r="J24" s="12">
        <f>S2!I31</f>
        <v>-66.4</v>
      </c>
      <c r="K24" s="12">
        <f>S2!J31</f>
        <v>-71.4</v>
      </c>
      <c r="L24" s="12">
        <f>S2!K31</f>
        <v>-76.4</v>
      </c>
      <c r="M24" s="12">
        <f>S2!L31</f>
        <v>-81.4</v>
      </c>
      <c r="N24" s="12">
        <f>S2!M31</f>
        <v>-86.4</v>
      </c>
      <c r="O24" s="12">
        <f>S2!N31</f>
        <v>-91.4</v>
      </c>
      <c r="P24" s="12">
        <f>S2!O31</f>
        <v>-96.4</v>
      </c>
      <c r="Q24" s="12">
        <f>S2!P31</f>
        <v>-101.4</v>
      </c>
      <c r="R24" s="12">
        <f>S2!Q31</f>
        <v>-106.4</v>
      </c>
      <c r="S24" s="12">
        <f>S2!R31</f>
        <v>-111.4</v>
      </c>
    </row>
    <row r="25">
      <c r="A25" s="6" t="inlineStr">
        <is>
          <t>S3 基本＋エーステイスト</t>
        </is>
      </c>
      <c r="D25" s="12">
        <f>S3!C31</f>
        <v>329.3</v>
      </c>
      <c r="E25" s="12">
        <f>S3!D31</f>
        <v>301.35</v>
      </c>
      <c r="F25" s="12">
        <f>S3!E31</f>
        <v>224.85</v>
      </c>
      <c r="G25" s="12">
        <f>S3!F31</f>
        <v>22.1</v>
      </c>
      <c r="H25" s="12">
        <f>S3!G31</f>
        <v>17.1</v>
      </c>
      <c r="I25" s="12">
        <f>S3!H31</f>
        <v>12.1</v>
      </c>
      <c r="J25" s="12">
        <f>S3!I31</f>
        <v>-4.9</v>
      </c>
      <c r="K25" s="12">
        <f>S3!J31</f>
        <v>-9.9</v>
      </c>
      <c r="L25" s="12">
        <f>S3!K31</f>
        <v>-14.9</v>
      </c>
      <c r="M25" s="12">
        <f>S3!L31</f>
        <v>-19.9</v>
      </c>
      <c r="N25" s="12">
        <f>S3!M31</f>
        <v>-24.9</v>
      </c>
      <c r="O25" s="12">
        <f>S3!N31</f>
        <v>-29.9</v>
      </c>
      <c r="P25" s="12">
        <f>S3!O31</f>
        <v>-34.9</v>
      </c>
      <c r="Q25" s="12">
        <f>S3!P31</f>
        <v>-39.9</v>
      </c>
      <c r="R25" s="12">
        <f>S3!Q31</f>
        <v>-44.9</v>
      </c>
      <c r="S25" s="12">
        <f>S3!R31</f>
        <v>-49.9</v>
      </c>
    </row>
    <row r="26">
      <c r="A26" s="6" t="inlineStr">
        <is>
          <t>S4 基本＋ワイズ＋エース</t>
        </is>
      </c>
      <c r="D26" s="12">
        <f>S4!C31</f>
        <v>329.3</v>
      </c>
      <c r="E26" s="12">
        <f>S4!D31</f>
        <v>292.65</v>
      </c>
      <c r="F26" s="12">
        <f>S4!E31</f>
        <v>88.85</v>
      </c>
      <c r="G26" s="12">
        <f>S4!F31</f>
        <v>-113.9</v>
      </c>
      <c r="H26" s="12">
        <f>S4!G31</f>
        <v>-118.9</v>
      </c>
      <c r="I26" s="12">
        <f>S4!H31</f>
        <v>-123.9</v>
      </c>
      <c r="J26" s="12">
        <f>S4!I31</f>
        <v>-140.9</v>
      </c>
      <c r="K26" s="12">
        <f>S4!J31</f>
        <v>-145.9</v>
      </c>
      <c r="L26" s="12">
        <f>S4!K31</f>
        <v>-150.9</v>
      </c>
      <c r="M26" s="12">
        <f>S4!L31</f>
        <v>-155.9</v>
      </c>
      <c r="N26" s="12">
        <f>S4!M31</f>
        <v>-160.9</v>
      </c>
      <c r="O26" s="12">
        <f>S4!N31</f>
        <v>-165.9</v>
      </c>
      <c r="P26" s="12">
        <f>S4!O31</f>
        <v>-170.9</v>
      </c>
      <c r="Q26" s="12">
        <f>S4!P31</f>
        <v>-175.9</v>
      </c>
      <c r="R26" s="12">
        <f>S4!Q31</f>
        <v>-180.9</v>
      </c>
      <c r="S26" s="12">
        <f>S4!R31</f>
        <v>-185.9</v>
      </c>
    </row>
    <row r="27">
      <c r="A27" s="6" t="inlineStr">
        <is>
          <t>S5 全件（＋日本経営C＋セレサ）</t>
        </is>
      </c>
      <c r="D27" s="12">
        <f>S5!C31</f>
        <v>329.3</v>
      </c>
      <c r="E27" s="12">
        <f>S5!D31</f>
        <v>292.65</v>
      </c>
      <c r="F27" s="12">
        <f>S5!E31</f>
        <v>88.85</v>
      </c>
      <c r="G27" s="12">
        <f>S5!F31</f>
        <v>-118.65</v>
      </c>
      <c r="H27" s="12">
        <f>S5!G31</f>
        <v>-211.4</v>
      </c>
      <c r="I27" s="12">
        <f>S5!H31</f>
        <v>-218.5</v>
      </c>
      <c r="J27" s="12">
        <f>S5!I31</f>
        <v>-291.0</v>
      </c>
      <c r="K27" s="12">
        <f>S5!J31</f>
        <v>-296.0</v>
      </c>
      <c r="L27" s="12">
        <f>S5!K31</f>
        <v>-301.0</v>
      </c>
      <c r="M27" s="12">
        <f>S5!L31</f>
        <v>-306.0</v>
      </c>
      <c r="N27" s="12">
        <f>S5!M31</f>
        <v>-311.0</v>
      </c>
      <c r="O27" s="12">
        <f>S5!N31</f>
        <v>-316.0</v>
      </c>
      <c r="P27" s="12">
        <f>S5!O31</f>
        <v>-321.0</v>
      </c>
      <c r="Q27" s="12">
        <f>S5!P31</f>
        <v>-326.0</v>
      </c>
      <c r="R27" s="12">
        <f>S5!Q31</f>
        <v>-331.0</v>
      </c>
      <c r="S27" s="12">
        <f>S5!R31</f>
        <v>-336.0</v>
      </c>
    </row>
    <row r="28">
      <c r="A28" s="6" t="inlineStr">
        <is>
          <t>安全水準</t>
        </is>
      </c>
      <c r="D28" s="12">
        <f>前提!$B$4</f>
        <v>100.0</v>
      </c>
      <c r="E28" s="12">
        <f>前提!$B$4</f>
        <v>100.0</v>
      </c>
      <c r="F28" s="12">
        <f>前提!$B$4</f>
        <v>100.0</v>
      </c>
      <c r="G28" s="12">
        <f>前提!$B$4</f>
        <v>100.0</v>
      </c>
      <c r="H28" s="12">
        <f>前提!$B$4</f>
        <v>100.0</v>
      </c>
      <c r="I28" s="12">
        <f>前提!$B$4</f>
        <v>100.0</v>
      </c>
      <c r="J28" s="12">
        <f>前提!$B$4</f>
        <v>100.0</v>
      </c>
      <c r="K28" s="12">
        <f>前提!$B$4</f>
        <v>100.0</v>
      </c>
      <c r="L28" s="12">
        <f>前提!$B$4</f>
        <v>100.0</v>
      </c>
      <c r="M28" s="12">
        <f>前提!$B$4</f>
        <v>100.0</v>
      </c>
      <c r="N28" s="12">
        <f>前提!$B$4</f>
        <v>100.0</v>
      </c>
      <c r="O28" s="12">
        <f>前提!$B$4</f>
        <v>100.0</v>
      </c>
      <c r="P28" s="12">
        <f>前提!$B$4</f>
        <v>100.0</v>
      </c>
      <c r="Q28" s="12">
        <f>前提!$B$4</f>
        <v>100.0</v>
      </c>
      <c r="R28" s="12">
        <f>前提!$B$4</f>
        <v>100.0</v>
      </c>
      <c r="S28" s="12">
        <f>前提!$B$4</f>
        <v>100.0</v>
      </c>
    </row>
    <row r="30">
      <c r="A30" s="4" t="inlineStr">
        <is>
          <t>必要調達額（累計不足額）の月次推移</t>
        </is>
      </c>
    </row>
    <row r="31">
      <c r="A31" s="3" t="inlineStr">
        <is>
          <t>シナリオ</t>
        </is>
      </c>
      <c r="B31" s="3" t="inlineStr"/>
      <c r="C31" s="3" t="inlineStr"/>
      <c r="D31" s="3" t="inlineStr">
        <is>
          <t>2026/9</t>
        </is>
      </c>
      <c r="E31" s="3" t="inlineStr">
        <is>
          <t>2026/10</t>
        </is>
      </c>
      <c r="F31" s="3" t="inlineStr">
        <is>
          <t>2026/11</t>
        </is>
      </c>
      <c r="G31" s="3" t="inlineStr">
        <is>
          <t>2026/12</t>
        </is>
      </c>
      <c r="H31" s="3" t="inlineStr">
        <is>
          <t>2027/1</t>
        </is>
      </c>
      <c r="I31" s="3" t="inlineStr">
        <is>
          <t>2027/2</t>
        </is>
      </c>
      <c r="J31" s="3" t="inlineStr">
        <is>
          <t>2027/3</t>
        </is>
      </c>
      <c r="K31" s="3" t="inlineStr">
        <is>
          <t>2027/4</t>
        </is>
      </c>
      <c r="L31" s="3" t="inlineStr">
        <is>
          <t>2027/5</t>
        </is>
      </c>
      <c r="M31" s="3" t="inlineStr">
        <is>
          <t>2027/6</t>
        </is>
      </c>
      <c r="N31" s="3" t="inlineStr">
        <is>
          <t>2027/7</t>
        </is>
      </c>
      <c r="O31" s="3" t="inlineStr">
        <is>
          <t>2027/8</t>
        </is>
      </c>
      <c r="P31" s="3" t="inlineStr">
        <is>
          <t>2027/9</t>
        </is>
      </c>
      <c r="Q31" s="3" t="inlineStr">
        <is>
          <t>2027/10</t>
        </is>
      </c>
      <c r="R31" s="3" t="inlineStr">
        <is>
          <t>2027/11</t>
        </is>
      </c>
      <c r="S31" s="3" t="inlineStr">
        <is>
          <t>2027/12</t>
        </is>
      </c>
    </row>
    <row r="32">
      <c r="A32" s="6" t="inlineStr">
        <is>
          <t>S1 基本（確定4件＋HT実行済）</t>
        </is>
      </c>
      <c r="D32" s="12">
        <f>S1!C33</f>
        <v>0</v>
      </c>
      <c r="E32" s="12">
        <f>S1!D33</f>
        <v>0</v>
      </c>
      <c r="F32" s="12">
        <f>S1!E33</f>
        <v>0</v>
      </c>
      <c r="G32" s="12">
        <f>S1!F33</f>
        <v>3.4</v>
      </c>
      <c r="H32" s="12">
        <f>S1!G33</f>
        <v>8.4</v>
      </c>
      <c r="I32" s="12">
        <f>S1!H33</f>
        <v>13.4</v>
      </c>
      <c r="J32" s="12">
        <f>S1!I33</f>
        <v>30.4</v>
      </c>
      <c r="K32" s="12">
        <f>S1!J33</f>
        <v>35.4</v>
      </c>
      <c r="L32" s="12">
        <f>S1!K33</f>
        <v>40.4</v>
      </c>
      <c r="M32" s="12">
        <f>S1!L33</f>
        <v>45.4</v>
      </c>
      <c r="N32" s="12">
        <f>S1!M33</f>
        <v>50.4</v>
      </c>
      <c r="O32" s="12">
        <f>S1!N33</f>
        <v>55.4</v>
      </c>
      <c r="P32" s="12">
        <f>S1!O33</f>
        <v>60.4</v>
      </c>
      <c r="Q32" s="12">
        <f>S1!P33</f>
        <v>65.4</v>
      </c>
      <c r="R32" s="12">
        <f>S1!Q33</f>
        <v>70.4</v>
      </c>
      <c r="S32" s="12">
        <f>S1!R33</f>
        <v>75.4</v>
      </c>
    </row>
    <row r="33">
      <c r="A33" s="6" t="inlineStr">
        <is>
          <t>S2 基本＋ワイズケア</t>
        </is>
      </c>
      <c r="D33" s="12">
        <f>S2!C33</f>
        <v>0</v>
      </c>
      <c r="E33" s="12">
        <f>S2!D33</f>
        <v>0</v>
      </c>
      <c r="F33" s="12">
        <f>S2!E33</f>
        <v>6.4</v>
      </c>
      <c r="G33" s="12">
        <f>S2!F33</f>
        <v>139.4</v>
      </c>
      <c r="H33" s="12">
        <f>S2!G33</f>
        <v>144.4</v>
      </c>
      <c r="I33" s="12">
        <f>S2!H33</f>
        <v>149.4</v>
      </c>
      <c r="J33" s="12">
        <f>S2!I33</f>
        <v>166.4</v>
      </c>
      <c r="K33" s="12">
        <f>S2!J33</f>
        <v>171.4</v>
      </c>
      <c r="L33" s="12">
        <f>S2!K33</f>
        <v>176.4</v>
      </c>
      <c r="M33" s="12">
        <f>S2!L33</f>
        <v>181.4</v>
      </c>
      <c r="N33" s="12">
        <f>S2!M33</f>
        <v>186.4</v>
      </c>
      <c r="O33" s="12">
        <f>S2!N33</f>
        <v>191.4</v>
      </c>
      <c r="P33" s="12">
        <f>S2!O33</f>
        <v>196.4</v>
      </c>
      <c r="Q33" s="12">
        <f>S2!P33</f>
        <v>201.4</v>
      </c>
      <c r="R33" s="12">
        <f>S2!Q33</f>
        <v>206.4</v>
      </c>
      <c r="S33" s="12">
        <f>S2!R33</f>
        <v>211.4</v>
      </c>
    </row>
    <row r="34">
      <c r="A34" s="6" t="inlineStr">
        <is>
          <t>S3 基本＋エーステイスト</t>
        </is>
      </c>
      <c r="D34" s="12">
        <f>S3!C33</f>
        <v>0</v>
      </c>
      <c r="E34" s="12">
        <f>S3!D33</f>
        <v>0</v>
      </c>
      <c r="F34" s="12">
        <f>S3!E33</f>
        <v>0</v>
      </c>
      <c r="G34" s="12">
        <f>S3!F33</f>
        <v>77.9</v>
      </c>
      <c r="H34" s="12">
        <f>S3!G33</f>
        <v>82.9</v>
      </c>
      <c r="I34" s="12">
        <f>S3!H33</f>
        <v>87.9</v>
      </c>
      <c r="J34" s="12">
        <f>S3!I33</f>
        <v>104.9</v>
      </c>
      <c r="K34" s="12">
        <f>S3!J33</f>
        <v>109.9</v>
      </c>
      <c r="L34" s="12">
        <f>S3!K33</f>
        <v>114.9</v>
      </c>
      <c r="M34" s="12">
        <f>S3!L33</f>
        <v>119.9</v>
      </c>
      <c r="N34" s="12">
        <f>S3!M33</f>
        <v>124.9</v>
      </c>
      <c r="O34" s="12">
        <f>S3!N33</f>
        <v>129.9</v>
      </c>
      <c r="P34" s="12">
        <f>S3!O33</f>
        <v>134.9</v>
      </c>
      <c r="Q34" s="12">
        <f>S3!P33</f>
        <v>139.9</v>
      </c>
      <c r="R34" s="12">
        <f>S3!Q33</f>
        <v>144.9</v>
      </c>
      <c r="S34" s="12">
        <f>S3!R33</f>
        <v>149.9</v>
      </c>
    </row>
    <row r="35">
      <c r="A35" s="6" t="inlineStr">
        <is>
          <t>S4 基本＋ワイズ＋エース</t>
        </is>
      </c>
      <c r="D35" s="12">
        <f>S4!C33</f>
        <v>0</v>
      </c>
      <c r="E35" s="12">
        <f>S4!D33</f>
        <v>0</v>
      </c>
      <c r="F35" s="12">
        <f>S4!E33</f>
        <v>11.15</v>
      </c>
      <c r="G35" s="12">
        <f>S4!F33</f>
        <v>213.9</v>
      </c>
      <c r="H35" s="12">
        <f>S4!G33</f>
        <v>218.9</v>
      </c>
      <c r="I35" s="12">
        <f>S4!H33</f>
        <v>223.9</v>
      </c>
      <c r="J35" s="12">
        <f>S4!I33</f>
        <v>240.9</v>
      </c>
      <c r="K35" s="12">
        <f>S4!J33</f>
        <v>245.9</v>
      </c>
      <c r="L35" s="12">
        <f>S4!K33</f>
        <v>250.9</v>
      </c>
      <c r="M35" s="12">
        <f>S4!L33</f>
        <v>255.9</v>
      </c>
      <c r="N35" s="12">
        <f>S4!M33</f>
        <v>260.9</v>
      </c>
      <c r="O35" s="12">
        <f>S4!N33</f>
        <v>265.9</v>
      </c>
      <c r="P35" s="12">
        <f>S4!O33</f>
        <v>270.9</v>
      </c>
      <c r="Q35" s="12">
        <f>S4!P33</f>
        <v>275.9</v>
      </c>
      <c r="R35" s="12">
        <f>S4!Q33</f>
        <v>280.9</v>
      </c>
      <c r="S35" s="12">
        <f>S4!R33</f>
        <v>285.9</v>
      </c>
    </row>
    <row r="36">
      <c r="A36" s="6" t="inlineStr">
        <is>
          <t>S5 全件（＋日本経営C＋セレサ）</t>
        </is>
      </c>
      <c r="D36" s="12">
        <f>S5!C33</f>
        <v>0</v>
      </c>
      <c r="E36" s="12">
        <f>S5!D33</f>
        <v>0</v>
      </c>
      <c r="F36" s="12">
        <f>S5!E33</f>
        <v>11.15</v>
      </c>
      <c r="G36" s="12">
        <f>S5!F33</f>
        <v>218.65</v>
      </c>
      <c r="H36" s="12">
        <f>S5!G33</f>
        <v>311.4</v>
      </c>
      <c r="I36" s="12">
        <f>S5!H33</f>
        <v>318.5</v>
      </c>
      <c r="J36" s="12">
        <f>S5!I33</f>
        <v>391.0</v>
      </c>
      <c r="K36" s="12">
        <f>S5!J33</f>
        <v>396.0</v>
      </c>
      <c r="L36" s="12">
        <f>S5!K33</f>
        <v>401.0</v>
      </c>
      <c r="M36" s="12">
        <f>S5!L33</f>
        <v>406.0</v>
      </c>
      <c r="N36" s="12">
        <f>S5!M33</f>
        <v>411.0</v>
      </c>
      <c r="O36" s="12">
        <f>S5!N33</f>
        <v>416.0</v>
      </c>
      <c r="P36" s="12">
        <f>S5!O33</f>
        <v>421.0</v>
      </c>
      <c r="Q36" s="12">
        <f>S5!P33</f>
        <v>426.0</v>
      </c>
      <c r="R36" s="12">
        <f>S5!Q33</f>
        <v>431.0</v>
      </c>
      <c r="S36" s="12">
        <f>S5!R33</f>
        <v>436.0</v>
      </c>
    </row>
    <row r="38">
      <c r="A38" s="4" t="inlineStr">
        <is>
          <t>Net Debt Capacity の月次推移（連結・調達前・各シートのモードに連動）</t>
        </is>
      </c>
    </row>
    <row r="39">
      <c r="A39" s="3" t="inlineStr">
        <is>
          <t>シナリオ</t>
        </is>
      </c>
      <c r="B39" s="3" t="inlineStr"/>
      <c r="C39" s="3" t="inlineStr"/>
      <c r="D39" s="3" t="inlineStr">
        <is>
          <t>2026/9</t>
        </is>
      </c>
      <c r="E39" s="3" t="inlineStr">
        <is>
          <t>2026/10</t>
        </is>
      </c>
      <c r="F39" s="3" t="inlineStr">
        <is>
          <t>2026/11</t>
        </is>
      </c>
      <c r="G39" s="3" t="inlineStr">
        <is>
          <t>2026/12</t>
        </is>
      </c>
      <c r="H39" s="3" t="inlineStr">
        <is>
          <t>2027/1</t>
        </is>
      </c>
      <c r="I39" s="3" t="inlineStr">
        <is>
          <t>2027/2</t>
        </is>
      </c>
      <c r="J39" s="3" t="inlineStr">
        <is>
          <t>2027/3</t>
        </is>
      </c>
      <c r="K39" s="3" t="inlineStr">
        <is>
          <t>2027/4</t>
        </is>
      </c>
      <c r="L39" s="3" t="inlineStr">
        <is>
          <t>2027/5</t>
        </is>
      </c>
      <c r="M39" s="3" t="inlineStr">
        <is>
          <t>2027/6</t>
        </is>
      </c>
      <c r="N39" s="3" t="inlineStr">
        <is>
          <t>2027/7</t>
        </is>
      </c>
      <c r="O39" s="3" t="inlineStr">
        <is>
          <t>2027/8</t>
        </is>
      </c>
      <c r="P39" s="3" t="inlineStr">
        <is>
          <t>2027/9</t>
        </is>
      </c>
      <c r="Q39" s="3" t="inlineStr">
        <is>
          <t>2027/10</t>
        </is>
      </c>
      <c r="R39" s="3" t="inlineStr">
        <is>
          <t>2027/11</t>
        </is>
      </c>
      <c r="S39" s="3" t="inlineStr">
        <is>
          <t>2027/12</t>
        </is>
      </c>
    </row>
    <row r="40">
      <c r="A40" s="6" t="inlineStr">
        <is>
          <t>S1 基本（確定4件＋HT実行済）</t>
        </is>
      </c>
      <c r="D40" s="12">
        <f>S1!C42</f>
        <v>315.2</v>
      </c>
      <c r="E40" s="12">
        <f>S1!D42</f>
        <v>302.9</v>
      </c>
      <c r="F40" s="12">
        <f>S1!E42</f>
        <v>421.4</v>
      </c>
      <c r="G40" s="12">
        <f>S1!F42</f>
        <v>348.2</v>
      </c>
      <c r="H40" s="12">
        <f>S1!G42</f>
        <v>436.1</v>
      </c>
      <c r="I40" s="12">
        <f>S1!H42</f>
        <v>436.0</v>
      </c>
      <c r="J40" s="12">
        <f>S1!I42</f>
        <v>423.8</v>
      </c>
      <c r="K40" s="12">
        <f>S1!J42</f>
        <v>423.7</v>
      </c>
      <c r="L40" s="12">
        <f>S1!K42</f>
        <v>373.5</v>
      </c>
      <c r="M40" s="12">
        <f>S1!L42</f>
        <v>373.4</v>
      </c>
      <c r="N40" s="12">
        <f>S1!M42</f>
        <v>373.2</v>
      </c>
      <c r="O40" s="12">
        <f>S1!N42</f>
        <v>373.1</v>
      </c>
      <c r="P40" s="12">
        <f>S1!O42</f>
        <v>372.9</v>
      </c>
      <c r="Q40" s="12">
        <f>S1!P42</f>
        <v>372.8</v>
      </c>
      <c r="R40" s="12">
        <f>S1!Q42</f>
        <v>372.6</v>
      </c>
      <c r="S40" s="12">
        <f>S1!R42</f>
        <v>372.5</v>
      </c>
    </row>
    <row r="41">
      <c r="A41" s="6" t="inlineStr">
        <is>
          <t>S2 基本＋ワイズケア</t>
        </is>
      </c>
      <c r="D41" s="12">
        <f>S2!C42</f>
        <v>315.2</v>
      </c>
      <c r="E41" s="12">
        <f>S2!D42</f>
        <v>294.2</v>
      </c>
      <c r="F41" s="12">
        <f>S2!E42</f>
        <v>448.4</v>
      </c>
      <c r="G41" s="12">
        <f>S2!F42</f>
        <v>375.2</v>
      </c>
      <c r="H41" s="12">
        <f>S2!G42</f>
        <v>463.1</v>
      </c>
      <c r="I41" s="12">
        <f>S2!H42</f>
        <v>462.9</v>
      </c>
      <c r="J41" s="12">
        <f>S2!I42</f>
        <v>450.8</v>
      </c>
      <c r="K41" s="12">
        <f>S2!J42</f>
        <v>450.6</v>
      </c>
      <c r="L41" s="12">
        <f>S2!K42</f>
        <v>400.5</v>
      </c>
      <c r="M41" s="12">
        <f>S2!L42</f>
        <v>400.3</v>
      </c>
      <c r="N41" s="12">
        <f>S2!M42</f>
        <v>400.2</v>
      </c>
      <c r="O41" s="12">
        <f>S2!N42</f>
        <v>400.1</v>
      </c>
      <c r="P41" s="12">
        <f>S2!O42</f>
        <v>399.9</v>
      </c>
      <c r="Q41" s="12">
        <f>S2!P42</f>
        <v>399.8</v>
      </c>
      <c r="R41" s="12">
        <f>S2!Q42</f>
        <v>399.6</v>
      </c>
      <c r="S41" s="12">
        <f>S2!R42</f>
        <v>399.5</v>
      </c>
    </row>
    <row r="42">
      <c r="A42" s="6" t="inlineStr">
        <is>
          <t>S3 基本＋エーステイスト</t>
        </is>
      </c>
      <c r="D42" s="12">
        <f>S3!C42</f>
        <v>315.2</v>
      </c>
      <c r="E42" s="12">
        <f>S3!D42</f>
        <v>300.2</v>
      </c>
      <c r="F42" s="12">
        <f>S3!E42</f>
        <v>416.7</v>
      </c>
      <c r="G42" s="12">
        <f>S3!F42</f>
        <v>380.4</v>
      </c>
      <c r="H42" s="12">
        <f>S3!G42</f>
        <v>468.2</v>
      </c>
      <c r="I42" s="12">
        <f>S3!H42</f>
        <v>468.0</v>
      </c>
      <c r="J42" s="12">
        <f>S3!I42</f>
        <v>455.9</v>
      </c>
      <c r="K42" s="12">
        <f>S3!J42</f>
        <v>455.8</v>
      </c>
      <c r="L42" s="12">
        <f>S3!K42</f>
        <v>405.6</v>
      </c>
      <c r="M42" s="12">
        <f>S3!L42</f>
        <v>405.5</v>
      </c>
      <c r="N42" s="12">
        <f>S3!M42</f>
        <v>405.3</v>
      </c>
      <c r="O42" s="12">
        <f>S3!N42</f>
        <v>405.2</v>
      </c>
      <c r="P42" s="12">
        <f>S3!O42</f>
        <v>405.0</v>
      </c>
      <c r="Q42" s="12">
        <f>S3!P42</f>
        <v>404.9</v>
      </c>
      <c r="R42" s="12">
        <f>S3!Q42</f>
        <v>404.7</v>
      </c>
      <c r="S42" s="12">
        <f>S3!R42</f>
        <v>404.6</v>
      </c>
    </row>
    <row r="43">
      <c r="A43" s="6" t="inlineStr">
        <is>
          <t>S4 基本＋ワイズ＋エース</t>
        </is>
      </c>
      <c r="D43" s="12">
        <f>S4!C42</f>
        <v>315.2</v>
      </c>
      <c r="E43" s="12">
        <f>S4!D42</f>
        <v>291.5</v>
      </c>
      <c r="F43" s="12">
        <f>S4!E42</f>
        <v>443.7</v>
      </c>
      <c r="G43" s="12">
        <f>S4!F42</f>
        <v>407.3</v>
      </c>
      <c r="H43" s="12">
        <f>S4!G42</f>
        <v>495.2</v>
      </c>
      <c r="I43" s="12">
        <f>S4!H42</f>
        <v>495.0</v>
      </c>
      <c r="J43" s="12">
        <f>S4!I42</f>
        <v>482.9</v>
      </c>
      <c r="K43" s="12">
        <f>S4!J42</f>
        <v>482.7</v>
      </c>
      <c r="L43" s="12">
        <f>S4!K42</f>
        <v>432.6</v>
      </c>
      <c r="M43" s="12">
        <f>S4!L42</f>
        <v>432.4</v>
      </c>
      <c r="N43" s="12">
        <f>S4!M42</f>
        <v>432.3</v>
      </c>
      <c r="O43" s="12">
        <f>S4!N42</f>
        <v>432.1</v>
      </c>
      <c r="P43" s="12">
        <f>S4!O42</f>
        <v>432.0</v>
      </c>
      <c r="Q43" s="12">
        <f>S4!P42</f>
        <v>431.8</v>
      </c>
      <c r="R43" s="12">
        <f>S4!Q42</f>
        <v>431.7</v>
      </c>
      <c r="S43" s="12">
        <f>S4!R42</f>
        <v>431.5</v>
      </c>
    </row>
    <row r="44">
      <c r="A44" s="6" t="inlineStr">
        <is>
          <t>S5 全件（＋日本経営C＋セレサ）</t>
        </is>
      </c>
      <c r="D44" s="12">
        <f>S5!C42</f>
        <v>315.2</v>
      </c>
      <c r="E44" s="12">
        <f>S5!D42</f>
        <v>291.5</v>
      </c>
      <c r="F44" s="12">
        <f>S5!E42</f>
        <v>443.7</v>
      </c>
      <c r="G44" s="12">
        <f>S5!F42</f>
        <v>402.7</v>
      </c>
      <c r="H44" s="12">
        <f>S5!G42</f>
        <v>485.8</v>
      </c>
      <c r="I44" s="12">
        <f>S5!H42</f>
        <v>483.6</v>
      </c>
      <c r="J44" s="12">
        <f>S5!I42</f>
        <v>490.9</v>
      </c>
      <c r="K44" s="12">
        <f>S5!J42</f>
        <v>490.8</v>
      </c>
      <c r="L44" s="12">
        <f>S5!K42</f>
        <v>440.6</v>
      </c>
      <c r="M44" s="12">
        <f>S5!L42</f>
        <v>440.5</v>
      </c>
      <c r="N44" s="12">
        <f>S5!M42</f>
        <v>440.3</v>
      </c>
      <c r="O44" s="12">
        <f>S5!N42</f>
        <v>440.2</v>
      </c>
      <c r="P44" s="12">
        <f>S5!O42</f>
        <v>440.0</v>
      </c>
      <c r="Q44" s="12">
        <f>S5!P42</f>
        <v>439.9</v>
      </c>
      <c r="R44" s="12">
        <f>S5!Q42</f>
        <v>439.7</v>
      </c>
      <c r="S44" s="12">
        <f>S5!R42</f>
        <v>439.6</v>
      </c>
    </row>
    <row r="87">
      <c r="A87" s="4" t="inlineStr">
        <is>
          <t>売上36億円への道筋 — 戦略別モンテカルロ結果（2万回・手出し最小化ベース・値貼付。詳細はHTML資料 第8章）</t>
        </is>
      </c>
    </row>
    <row r="88">
      <c r="A88" s="3" t="inlineStr">
        <is>
          <t>戦略</t>
        </is>
      </c>
      <c r="B88" s="3" t="inlineStr">
        <is>
          <t>追う案件数</t>
        </is>
      </c>
      <c r="C88" s="3" t="inlineStr">
        <is>
          <t>36億円到達確率（2027/12）</t>
        </is>
      </c>
      <c r="D88" s="3" t="inlineStr">
        <is>
          <t>期待売上（年換算）</t>
        </is>
      </c>
      <c r="E88" s="3" t="inlineStr">
        <is>
          <t>売上P50</t>
        </is>
      </c>
      <c r="F88" s="3" t="inlineStr">
        <is>
          <t>売上P80</t>
        </is>
      </c>
      <c r="G88" s="3" t="inlineStr">
        <is>
          <t>必要資金P50</t>
        </is>
      </c>
      <c r="H88" s="3" t="inlineStr">
        <is>
          <t>必要資金P80</t>
        </is>
      </c>
      <c r="I88" s="3" t="inlineStr">
        <is>
          <t>到達時の必要資金（中央値）</t>
        </is>
      </c>
      <c r="J88" s="3" t="inlineStr">
        <is>
          <t>全件成約時の売上</t>
        </is>
      </c>
    </row>
    <row r="89">
      <c r="A89" s="6" t="inlineStr">
        <is>
          <t>A 確定4件＋中型積み上げ（大型なし）</t>
        </is>
      </c>
      <c r="B89" s="11" t="n">
        <v>12</v>
      </c>
      <c r="C89" s="13" t="n">
        <v>0.38</v>
      </c>
      <c r="D89" s="10" t="n">
        <v>3460</v>
      </c>
      <c r="E89" s="10" t="n">
        <v>3449</v>
      </c>
      <c r="F89" s="10" t="n">
        <v>3908</v>
      </c>
      <c r="G89" s="10" t="n">
        <v>475</v>
      </c>
      <c r="H89" s="10" t="n">
        <v>587</v>
      </c>
      <c r="I89" s="10" t="n">
        <v>595</v>
      </c>
      <c r="J89" s="10" t="n">
        <v>4826</v>
      </c>
    </row>
    <row r="90">
      <c r="A90" s="6" t="inlineStr">
        <is>
          <t>B 中型＋ライブアシスト</t>
        </is>
      </c>
      <c r="B90" s="11" t="n">
        <v>12</v>
      </c>
      <c r="C90" s="13" t="n">
        <v>0.489</v>
      </c>
      <c r="D90" s="10" t="n">
        <v>3611</v>
      </c>
      <c r="E90" s="10" t="n">
        <v>3593</v>
      </c>
      <c r="F90" s="10" t="n">
        <v>4092</v>
      </c>
      <c r="G90" s="10" t="n">
        <v>526</v>
      </c>
      <c r="H90" s="10" t="n">
        <v>648</v>
      </c>
      <c r="I90" s="10" t="n">
        <v>621</v>
      </c>
      <c r="J90" s="10" t="n">
        <v>5225</v>
      </c>
    </row>
    <row r="91">
      <c r="A91" s="6" t="inlineStr">
        <is>
          <t>C 中型＋プラスディー</t>
        </is>
      </c>
      <c r="B91" s="11" t="n">
        <v>9</v>
      </c>
      <c r="C91" s="13" t="n">
        <v>0.369</v>
      </c>
      <c r="D91" s="10" t="n">
        <v>3506</v>
      </c>
      <c r="E91" s="10" t="n">
        <v>3320</v>
      </c>
      <c r="F91" s="10" t="n">
        <v>4307</v>
      </c>
      <c r="G91" s="10" t="n">
        <v>520</v>
      </c>
      <c r="H91" s="10" t="n">
        <v>754</v>
      </c>
      <c r="I91" s="10" t="n">
        <v>754</v>
      </c>
      <c r="J91" s="10" t="n">
        <v>5225</v>
      </c>
    </row>
    <row r="92">
      <c r="A92" s="6" t="inlineStr">
        <is>
          <t>D 中型＋ヒナ資本提携＋ライブアシスト</t>
        </is>
      </c>
      <c r="B92" s="11" t="n">
        <v>11</v>
      </c>
      <c r="C92" s="13" t="n">
        <v>0.542</v>
      </c>
      <c r="D92" s="10" t="n">
        <v>3784</v>
      </c>
      <c r="E92" s="10" t="n">
        <v>3698</v>
      </c>
      <c r="F92" s="10" t="n">
        <v>4411</v>
      </c>
      <c r="G92" s="10" t="n">
        <v>544</v>
      </c>
      <c r="H92" s="10" t="n">
        <v>687</v>
      </c>
      <c r="I92" s="10" t="n">
        <v>662</v>
      </c>
      <c r="J92" s="10" t="n">
        <v>6283</v>
      </c>
    </row>
    <row r="93">
      <c r="A93" s="6" t="inlineStr">
        <is>
          <t>F 中型＋プラスディー＋ヒナ＋ライブアシスト</t>
        </is>
      </c>
      <c r="B93" s="11" t="n">
        <v>14</v>
      </c>
      <c r="C93" s="13" t="n">
        <v>0.711</v>
      </c>
      <c r="D93" s="10" t="n">
        <v>4284</v>
      </c>
      <c r="E93" s="10" t="n">
        <v>4194</v>
      </c>
      <c r="F93" s="10" t="n">
        <v>5132</v>
      </c>
      <c r="G93" s="10" t="n">
        <v>653</v>
      </c>
      <c r="H93" s="10" t="n">
        <v>890</v>
      </c>
      <c r="I93" s="10" t="n">
        <v>753</v>
      </c>
      <c r="J93" s="10" t="n">
        <v>7912</v>
      </c>
    </row>
    <row r="94">
      <c r="A94" s="6" t="inlineStr">
        <is>
          <t>E 全方位（LOI以上＋本格検討すべて）</t>
        </is>
      </c>
      <c r="B94" s="11" t="n">
        <v>22</v>
      </c>
      <c r="C94" s="13" t="n">
        <v>0.804</v>
      </c>
      <c r="D94" s="10" t="n">
        <v>4524</v>
      </c>
      <c r="E94" s="10" t="n">
        <v>4438</v>
      </c>
      <c r="F94" s="10" t="n">
        <v>5403</v>
      </c>
      <c r="G94" s="10" t="n">
        <v>837</v>
      </c>
      <c r="H94" s="10" t="n">
        <v>1099</v>
      </c>
      <c r="I94" s="10" t="n">
        <v>911</v>
      </c>
      <c r="J94" s="10" t="n">
        <v>9436</v>
      </c>
    </row>
    <row r="95">
      <c r="A95" s="2" t="inlineStr">
        <is>
          <t>期限を2028/6に延ばした場合（戦略F）：到達確率 92%、必要資金P50 814</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T62"/>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18" customWidth="1" min="1" max="1"/>
    <col width="58" customWidth="1" min="2" max="2"/>
    <col width="8"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10" customWidth="1" min="20" max="20"/>
  </cols>
  <sheetData>
    <row r="1">
      <c r="A1" s="14" t="inlineStr">
        <is>
          <t>前提（入力シート）— 青字＝入力値、黒字＝数式。金額は百万円・税込</t>
        </is>
      </c>
    </row>
    <row r="3">
      <c r="A3" t="inlineStr">
        <is>
          <t>期首現預金（EEFUL HD単体・2026年8月末）</t>
        </is>
      </c>
      <c r="B3" s="15" t="n">
        <v>366.3</v>
      </c>
    </row>
    <row r="4">
      <c r="A4" t="inlineStr">
        <is>
          <t>安全水準（HD手元現預金の下限）</t>
        </is>
      </c>
      <c r="B4" s="16" t="n">
        <v>100</v>
      </c>
    </row>
    <row r="5">
      <c r="A5" t="inlineStr">
        <is>
          <t>年換算オーガニック売上（HT＋HD）</t>
        </is>
      </c>
      <c r="B5" s="10" t="n">
        <v>1230</v>
      </c>
    </row>
    <row r="6">
      <c r="A6" t="inlineStr">
        <is>
          <t>年換算オーガニック調整後EBITDA</t>
        </is>
      </c>
      <c r="B6" s="10" t="n">
        <v>60</v>
      </c>
    </row>
    <row r="7">
      <c r="A7" t="inlineStr">
        <is>
          <t>連結有利子負債（2026年8月末）</t>
        </is>
      </c>
      <c r="B7" s="15" t="n">
        <v>414.9</v>
      </c>
    </row>
    <row r="8">
      <c r="A8" t="inlineStr">
        <is>
          <t>モードの意味</t>
        </is>
      </c>
      <c r="B8" s="2" t="inlineStr">
        <is>
          <t>共通＝どちらのモードでも発生／現行＝LOI通りHDが全額負担／最小化＝退職金・対象会社資金・対象会社借入で手出しを圧縮した案</t>
        </is>
      </c>
    </row>
    <row r="10">
      <c r="A10" s="3" t="inlineStr">
        <is>
          <t>案件</t>
        </is>
      </c>
      <c r="B10" s="3" t="inlineStr">
        <is>
          <t>項目</t>
        </is>
      </c>
      <c r="C10" s="3" t="inlineStr">
        <is>
          <t>モード</t>
        </is>
      </c>
      <c r="D10" s="3" t="inlineStr">
        <is>
          <t>2026/9</t>
        </is>
      </c>
      <c r="E10" s="3" t="inlineStr">
        <is>
          <t>2026/10</t>
        </is>
      </c>
      <c r="F10" s="3" t="inlineStr">
        <is>
          <t>2026/11</t>
        </is>
      </c>
      <c r="G10" s="3" t="inlineStr">
        <is>
          <t>2026/12</t>
        </is>
      </c>
      <c r="H10" s="3" t="inlineStr">
        <is>
          <t>2027/1</t>
        </is>
      </c>
      <c r="I10" s="3" t="inlineStr">
        <is>
          <t>2027/2</t>
        </is>
      </c>
      <c r="J10" s="3" t="inlineStr">
        <is>
          <t>2027/3</t>
        </is>
      </c>
      <c r="K10" s="3" t="inlineStr">
        <is>
          <t>2027/4</t>
        </is>
      </c>
      <c r="L10" s="3" t="inlineStr">
        <is>
          <t>2027/5</t>
        </is>
      </c>
      <c r="M10" s="3" t="inlineStr">
        <is>
          <t>2027/6</t>
        </is>
      </c>
      <c r="N10" s="3" t="inlineStr">
        <is>
          <t>2027/7</t>
        </is>
      </c>
      <c r="O10" s="3" t="inlineStr">
        <is>
          <t>2027/8</t>
        </is>
      </c>
      <c r="P10" s="3" t="inlineStr">
        <is>
          <t>2027/9</t>
        </is>
      </c>
      <c r="Q10" s="3" t="inlineStr">
        <is>
          <t>2027/10</t>
        </is>
      </c>
      <c r="R10" s="3" t="inlineStr">
        <is>
          <t>2027/11</t>
        </is>
      </c>
      <c r="S10" s="3" t="inlineStr">
        <is>
          <t>2027/12</t>
        </is>
      </c>
      <c r="T10" s="3" t="inlineStr">
        <is>
          <t>合計</t>
        </is>
      </c>
    </row>
    <row r="11">
      <c r="A11" s="4" t="inlineStr">
        <is>
          <t>HD運営費</t>
        </is>
      </c>
      <c r="B11" s="6" t="inlineStr">
        <is>
          <t>受取管理料控除後の運営費（9〜12月▲7、2027年▲5）</t>
        </is>
      </c>
      <c r="C11" s="6" t="inlineStr">
        <is>
          <t>共通</t>
        </is>
      </c>
      <c r="D11" s="15" t="n">
        <v>-7</v>
      </c>
      <c r="E11" s="15" t="n">
        <v>-7</v>
      </c>
      <c r="F11" s="15" t="n">
        <v>-7</v>
      </c>
      <c r="G11" s="15" t="n">
        <v>-7</v>
      </c>
      <c r="H11" s="15" t="n">
        <v>-5</v>
      </c>
      <c r="I11" s="15" t="n">
        <v>-5</v>
      </c>
      <c r="J11" s="15" t="n">
        <v>-5</v>
      </c>
      <c r="K11" s="15" t="n">
        <v>-5</v>
      </c>
      <c r="L11" s="15" t="n">
        <v>-5</v>
      </c>
      <c r="M11" s="15" t="n">
        <v>-5</v>
      </c>
      <c r="N11" s="15" t="n">
        <v>-5</v>
      </c>
      <c r="O11" s="15" t="n">
        <v>-5</v>
      </c>
      <c r="P11" s="15" t="n">
        <v>-5</v>
      </c>
      <c r="Q11" s="15" t="n">
        <v>-5</v>
      </c>
      <c r="R11" s="15" t="n">
        <v>-5</v>
      </c>
      <c r="S11" s="15" t="n">
        <v>-5</v>
      </c>
      <c r="T11" s="17">
        <f>SUM(D11:S11)</f>
        <v>-88</v>
      </c>
    </row>
    <row r="12">
      <c r="A12" s="6" t="inlineStr">
        <is>
          <t>HT100%化</t>
        </is>
      </c>
      <c r="B12" s="6" t="inlineStr">
        <is>
          <t>残株51%取得（9/11支払済）</t>
        </is>
      </c>
      <c r="C12" s="18" t="inlineStr">
        <is>
          <t>共通</t>
        </is>
      </c>
      <c r="D12" s="15" t="n">
        <v>30</v>
      </c>
      <c r="E12" s="15" t="n">
        <v>0</v>
      </c>
      <c r="F12" s="15" t="n">
        <v>0</v>
      </c>
      <c r="G12" s="15" t="n">
        <v>0</v>
      </c>
      <c r="H12" s="15" t="n">
        <v>0</v>
      </c>
      <c r="I12" s="15" t="n">
        <v>0</v>
      </c>
      <c r="J12" s="15" t="n">
        <v>0</v>
      </c>
      <c r="K12" s="15" t="n">
        <v>0</v>
      </c>
      <c r="L12" s="15" t="n">
        <v>0</v>
      </c>
      <c r="M12" s="15" t="n">
        <v>0</v>
      </c>
      <c r="N12" s="15" t="n">
        <v>0</v>
      </c>
      <c r="O12" s="15" t="n">
        <v>0</v>
      </c>
      <c r="P12" s="15" t="n">
        <v>0</v>
      </c>
      <c r="Q12" s="15" t="n">
        <v>0</v>
      </c>
      <c r="R12" s="15" t="n">
        <v>0</v>
      </c>
      <c r="S12" s="15" t="n">
        <v>0</v>
      </c>
      <c r="T12" s="17">
        <f>SUM(D12:S12)</f>
        <v>30.0</v>
      </c>
    </row>
    <row r="13">
      <c r="A13" s="6" t="inlineStr">
        <is>
          <t>メディプロ</t>
        </is>
      </c>
      <c r="B13" s="6" t="inlineStr">
        <is>
          <t>DD費用（財務・法務）</t>
        </is>
      </c>
      <c r="C13" s="18" t="inlineStr">
        <is>
          <t>共通</t>
        </is>
      </c>
      <c r="D13" s="15" t="n">
        <v>0</v>
      </c>
      <c r="E13" s="15" t="n">
        <v>1.5</v>
      </c>
      <c r="F13" s="15" t="n">
        <v>0</v>
      </c>
      <c r="G13" s="15" t="n">
        <v>0</v>
      </c>
      <c r="H13" s="15" t="n">
        <v>0</v>
      </c>
      <c r="I13" s="15" t="n">
        <v>0</v>
      </c>
      <c r="J13" s="15" t="n">
        <v>0</v>
      </c>
      <c r="K13" s="15" t="n">
        <v>0</v>
      </c>
      <c r="L13" s="15" t="n">
        <v>0</v>
      </c>
      <c r="M13" s="15" t="n">
        <v>0</v>
      </c>
      <c r="N13" s="15" t="n">
        <v>0</v>
      </c>
      <c r="O13" s="15" t="n">
        <v>0</v>
      </c>
      <c r="P13" s="15" t="n">
        <v>0</v>
      </c>
      <c r="Q13" s="15" t="n">
        <v>0</v>
      </c>
      <c r="R13" s="15" t="n">
        <v>0</v>
      </c>
      <c r="S13" s="15" t="n">
        <v>0</v>
      </c>
      <c r="T13" s="17">
        <f>SUM(D13:S13)</f>
        <v>1.5</v>
      </c>
    </row>
    <row r="14">
      <c r="A14" s="6" t="inlineStr">
        <is>
          <t>メディプロ</t>
        </is>
      </c>
      <c r="B14" s="6" t="inlineStr">
        <is>
          <t>株式対価（70−公庫借入44.85残置）</t>
        </is>
      </c>
      <c r="C14" s="18" t="inlineStr">
        <is>
          <t>共通</t>
        </is>
      </c>
      <c r="D14" s="15" t="n">
        <v>0</v>
      </c>
      <c r="E14" s="15" t="n">
        <v>0</v>
      </c>
      <c r="F14" s="15" t="n">
        <v>25</v>
      </c>
      <c r="G14" s="15" t="n">
        <v>0</v>
      </c>
      <c r="H14" s="15" t="n">
        <v>0</v>
      </c>
      <c r="I14" s="15" t="n">
        <v>0</v>
      </c>
      <c r="J14" s="15" t="n">
        <v>0</v>
      </c>
      <c r="K14" s="15" t="n">
        <v>0</v>
      </c>
      <c r="L14" s="15" t="n">
        <v>0</v>
      </c>
      <c r="M14" s="15" t="n">
        <v>0</v>
      </c>
      <c r="N14" s="15" t="n">
        <v>0</v>
      </c>
      <c r="O14" s="15" t="n">
        <v>0</v>
      </c>
      <c r="P14" s="15" t="n">
        <v>0</v>
      </c>
      <c r="Q14" s="15" t="n">
        <v>0</v>
      </c>
      <c r="R14" s="15" t="n">
        <v>0</v>
      </c>
      <c r="S14" s="15" t="n">
        <v>0</v>
      </c>
      <c r="T14" s="17">
        <f>SUM(D14:S14)</f>
        <v>25.0</v>
      </c>
    </row>
    <row r="15">
      <c r="A15" s="6" t="inlineStr">
        <is>
          <t>メディプロ</t>
        </is>
      </c>
      <c r="B15" s="6" t="inlineStr">
        <is>
          <t>仲介手数料（バトンズ・契約書未確認 3.3〜8.8）</t>
        </is>
      </c>
      <c r="C15" s="18" t="inlineStr">
        <is>
          <t>共通</t>
        </is>
      </c>
      <c r="D15" s="15" t="n">
        <v>0</v>
      </c>
      <c r="E15" s="15" t="n">
        <v>0</v>
      </c>
      <c r="F15" s="15" t="n">
        <v>5.5</v>
      </c>
      <c r="G15" s="15" t="n">
        <v>0</v>
      </c>
      <c r="H15" s="15" t="n">
        <v>0</v>
      </c>
      <c r="I15" s="15" t="n">
        <v>0</v>
      </c>
      <c r="J15" s="15" t="n">
        <v>0</v>
      </c>
      <c r="K15" s="15" t="n">
        <v>0</v>
      </c>
      <c r="L15" s="15" t="n">
        <v>0</v>
      </c>
      <c r="M15" s="15" t="n">
        <v>0</v>
      </c>
      <c r="N15" s="15" t="n">
        <v>0</v>
      </c>
      <c r="O15" s="15" t="n">
        <v>0</v>
      </c>
      <c r="P15" s="15" t="n">
        <v>0</v>
      </c>
      <c r="Q15" s="15" t="n">
        <v>0</v>
      </c>
      <c r="R15" s="15" t="n">
        <v>0</v>
      </c>
      <c r="S15" s="15" t="n">
        <v>0</v>
      </c>
      <c r="T15" s="17">
        <f>SUM(D15:S15)</f>
        <v>5.5</v>
      </c>
    </row>
    <row r="16">
      <c r="A16" s="6" t="inlineStr">
        <is>
          <t>ヒューマンアイ</t>
        </is>
      </c>
      <c r="B16" s="6" t="inlineStr">
        <is>
          <t>DD費用</t>
        </is>
      </c>
      <c r="C16" s="18" t="inlineStr">
        <is>
          <t>共通</t>
        </is>
      </c>
      <c r="D16" s="15" t="n">
        <v>0</v>
      </c>
      <c r="E16" s="15" t="n">
        <v>1.5</v>
      </c>
      <c r="F16" s="15" t="n">
        <v>0</v>
      </c>
      <c r="G16" s="15" t="n">
        <v>0</v>
      </c>
      <c r="H16" s="15" t="n">
        <v>0</v>
      </c>
      <c r="I16" s="15" t="n">
        <v>0</v>
      </c>
      <c r="J16" s="15" t="n">
        <v>0</v>
      </c>
      <c r="K16" s="15" t="n">
        <v>0</v>
      </c>
      <c r="L16" s="15" t="n">
        <v>0</v>
      </c>
      <c r="M16" s="15" t="n">
        <v>0</v>
      </c>
      <c r="N16" s="15" t="n">
        <v>0</v>
      </c>
      <c r="O16" s="15" t="n">
        <v>0</v>
      </c>
      <c r="P16" s="15" t="n">
        <v>0</v>
      </c>
      <c r="Q16" s="15" t="n">
        <v>0</v>
      </c>
      <c r="R16" s="15" t="n">
        <v>0</v>
      </c>
      <c r="S16" s="15" t="n">
        <v>0</v>
      </c>
      <c r="T16" s="17">
        <f>SUM(D16:S16)</f>
        <v>1.5</v>
      </c>
    </row>
    <row r="17">
      <c r="A17" s="6" t="inlineStr">
        <is>
          <t>ヒューマンアイ</t>
        </is>
      </c>
      <c r="B17" s="6" t="inlineStr">
        <is>
          <t>仲介手数料（CBヘルスケア・最低報酬1,000万円・最終契約時）</t>
        </is>
      </c>
      <c r="C17" s="18" t="inlineStr">
        <is>
          <t>共通</t>
        </is>
      </c>
      <c r="D17" s="15" t="n">
        <v>0</v>
      </c>
      <c r="E17" s="15" t="n">
        <v>11</v>
      </c>
      <c r="F17" s="15" t="n">
        <v>0</v>
      </c>
      <c r="G17" s="15" t="n">
        <v>0</v>
      </c>
      <c r="H17" s="15" t="n">
        <v>0</v>
      </c>
      <c r="I17" s="15" t="n">
        <v>0</v>
      </c>
      <c r="J17" s="15" t="n">
        <v>0</v>
      </c>
      <c r="K17" s="15" t="n">
        <v>0</v>
      </c>
      <c r="L17" s="15" t="n">
        <v>0</v>
      </c>
      <c r="M17" s="15" t="n">
        <v>0</v>
      </c>
      <c r="N17" s="15" t="n">
        <v>0</v>
      </c>
      <c r="O17" s="15" t="n">
        <v>0</v>
      </c>
      <c r="P17" s="15" t="n">
        <v>0</v>
      </c>
      <c r="Q17" s="15" t="n">
        <v>0</v>
      </c>
      <c r="R17" s="15" t="n">
        <v>0</v>
      </c>
      <c r="S17" s="15" t="n">
        <v>0</v>
      </c>
      <c r="T17" s="17">
        <f>SUM(D17:S17)</f>
        <v>11.0</v>
      </c>
    </row>
    <row r="18">
      <c r="A18" s="6" t="inlineStr">
        <is>
          <t>ヒューマンアイ</t>
        </is>
      </c>
      <c r="B18" s="6" t="inlineStr">
        <is>
          <t>事業譲渡対価（22税別）一括</t>
        </is>
      </c>
      <c r="C18" s="18" t="inlineStr">
        <is>
          <t>現行</t>
        </is>
      </c>
      <c r="D18" s="15" t="n">
        <v>0</v>
      </c>
      <c r="E18" s="15" t="n">
        <v>0</v>
      </c>
      <c r="F18" s="15" t="n">
        <v>0</v>
      </c>
      <c r="G18" s="15" t="n">
        <v>24</v>
      </c>
      <c r="H18" s="15" t="n">
        <v>0</v>
      </c>
      <c r="I18" s="15" t="n">
        <v>0</v>
      </c>
      <c r="J18" s="15" t="n">
        <v>0</v>
      </c>
      <c r="K18" s="15" t="n">
        <v>0</v>
      </c>
      <c r="L18" s="15" t="n">
        <v>0</v>
      </c>
      <c r="M18" s="15" t="n">
        <v>0</v>
      </c>
      <c r="N18" s="15" t="n">
        <v>0</v>
      </c>
      <c r="O18" s="15" t="n">
        <v>0</v>
      </c>
      <c r="P18" s="15" t="n">
        <v>0</v>
      </c>
      <c r="Q18" s="15" t="n">
        <v>0</v>
      </c>
      <c r="R18" s="15" t="n">
        <v>0</v>
      </c>
      <c r="S18" s="15" t="n">
        <v>0</v>
      </c>
      <c r="T18" s="17">
        <f>SUM(D18:S18)</f>
        <v>24.0</v>
      </c>
    </row>
    <row r="19">
      <c r="A19" s="6" t="inlineStr">
        <is>
          <t>ヒューマンアイ</t>
        </is>
      </c>
      <c r="B19" s="6" t="inlineStr">
        <is>
          <t>事業譲渡対価 半額を2027/3に繰延（要交渉）</t>
        </is>
      </c>
      <c r="C19" s="18" t="inlineStr">
        <is>
          <t>最小化</t>
        </is>
      </c>
      <c r="D19" s="15" t="n">
        <v>0</v>
      </c>
      <c r="E19" s="15" t="n">
        <v>0</v>
      </c>
      <c r="F19" s="15" t="n">
        <v>0</v>
      </c>
      <c r="G19" s="15" t="n">
        <v>12</v>
      </c>
      <c r="H19" s="15" t="n">
        <v>0</v>
      </c>
      <c r="I19" s="15" t="n">
        <v>0</v>
      </c>
      <c r="J19" s="15" t="n">
        <v>12</v>
      </c>
      <c r="K19" s="15" t="n">
        <v>0</v>
      </c>
      <c r="L19" s="15" t="n">
        <v>0</v>
      </c>
      <c r="M19" s="15" t="n">
        <v>0</v>
      </c>
      <c r="N19" s="15" t="n">
        <v>0</v>
      </c>
      <c r="O19" s="15" t="n">
        <v>0</v>
      </c>
      <c r="P19" s="15" t="n">
        <v>0</v>
      </c>
      <c r="Q19" s="15" t="n">
        <v>0</v>
      </c>
      <c r="R19" s="15" t="n">
        <v>0</v>
      </c>
      <c r="S19" s="15" t="n">
        <v>0</v>
      </c>
      <c r="T19" s="17">
        <f>SUM(D19:S19)</f>
        <v>24.0</v>
      </c>
    </row>
    <row r="20">
      <c r="A20" s="6" t="inlineStr">
        <is>
          <t>クレッシェンド</t>
        </is>
      </c>
      <c r="B20" s="6" t="inlineStr">
        <is>
          <t>DD費用</t>
        </is>
      </c>
      <c r="C20" s="18" t="inlineStr">
        <is>
          <t>共通</t>
        </is>
      </c>
      <c r="D20" s="15" t="n">
        <v>0</v>
      </c>
      <c r="E20" s="15" t="n">
        <v>2</v>
      </c>
      <c r="F20" s="15" t="n">
        <v>0</v>
      </c>
      <c r="G20" s="15" t="n">
        <v>0</v>
      </c>
      <c r="H20" s="15" t="n">
        <v>0</v>
      </c>
      <c r="I20" s="15" t="n">
        <v>0</v>
      </c>
      <c r="J20" s="15" t="n">
        <v>0</v>
      </c>
      <c r="K20" s="15" t="n">
        <v>0</v>
      </c>
      <c r="L20" s="15" t="n">
        <v>0</v>
      </c>
      <c r="M20" s="15" t="n">
        <v>0</v>
      </c>
      <c r="N20" s="15" t="n">
        <v>0</v>
      </c>
      <c r="O20" s="15" t="n">
        <v>0</v>
      </c>
      <c r="P20" s="15" t="n">
        <v>0</v>
      </c>
      <c r="Q20" s="15" t="n">
        <v>0</v>
      </c>
      <c r="R20" s="15" t="n">
        <v>0</v>
      </c>
      <c r="S20" s="15" t="n">
        <v>0</v>
      </c>
      <c r="T20" s="17">
        <f>SUM(D20:S20)</f>
        <v>2.0</v>
      </c>
    </row>
    <row r="21">
      <c r="A21" s="6" t="inlineStr">
        <is>
          <t>クレッシェンド</t>
        </is>
      </c>
      <c r="B21" s="6" t="inlineStr">
        <is>
          <t>仲介手数料（ストライク・基本合意時）</t>
        </is>
      </c>
      <c r="C21" s="18" t="inlineStr">
        <is>
          <t>共通</t>
        </is>
      </c>
      <c r="D21" s="15" t="n">
        <v>0</v>
      </c>
      <c r="E21" s="15" t="n">
        <v>1.1</v>
      </c>
      <c r="F21" s="15" t="n">
        <v>0</v>
      </c>
      <c r="G21" s="15" t="n">
        <v>0</v>
      </c>
      <c r="H21" s="15" t="n">
        <v>0</v>
      </c>
      <c r="I21" s="15" t="n">
        <v>0</v>
      </c>
      <c r="J21" s="15" t="n">
        <v>0</v>
      </c>
      <c r="K21" s="15" t="n">
        <v>0</v>
      </c>
      <c r="L21" s="15" t="n">
        <v>0</v>
      </c>
      <c r="M21" s="15" t="n">
        <v>0</v>
      </c>
      <c r="N21" s="15" t="n">
        <v>0</v>
      </c>
      <c r="O21" s="15" t="n">
        <v>0</v>
      </c>
      <c r="P21" s="15" t="n">
        <v>0</v>
      </c>
      <c r="Q21" s="15" t="n">
        <v>0</v>
      </c>
      <c r="R21" s="15" t="n">
        <v>0</v>
      </c>
      <c r="S21" s="15" t="n">
        <v>0</v>
      </c>
      <c r="T21" s="17">
        <f>SUM(D21:S21)</f>
        <v>1.1</v>
      </c>
    </row>
    <row r="22">
      <c r="A22" s="6" t="inlineStr">
        <is>
          <t>クレッシェンド</t>
        </is>
      </c>
      <c r="B22" s="6" t="inlineStr">
        <is>
          <t>株式対価10＋奥様退職金3（奥様分は対象会社資金）</t>
        </is>
      </c>
      <c r="C22" s="18" t="inlineStr">
        <is>
          <t>共通</t>
        </is>
      </c>
      <c r="D22" s="15" t="n">
        <v>0</v>
      </c>
      <c r="E22" s="15" t="n">
        <v>0</v>
      </c>
      <c r="F22" s="15" t="n">
        <v>10</v>
      </c>
      <c r="G22" s="15" t="n">
        <v>0</v>
      </c>
      <c r="H22" s="15" t="n">
        <v>0</v>
      </c>
      <c r="I22" s="15" t="n">
        <v>0</v>
      </c>
      <c r="J22" s="15" t="n">
        <v>0</v>
      </c>
      <c r="K22" s="15" t="n">
        <v>0</v>
      </c>
      <c r="L22" s="15" t="n">
        <v>0</v>
      </c>
      <c r="M22" s="15" t="n">
        <v>0</v>
      </c>
      <c r="N22" s="15" t="n">
        <v>0</v>
      </c>
      <c r="O22" s="15" t="n">
        <v>0</v>
      </c>
      <c r="P22" s="15" t="n">
        <v>0</v>
      </c>
      <c r="Q22" s="15" t="n">
        <v>0</v>
      </c>
      <c r="R22" s="15" t="n">
        <v>0</v>
      </c>
      <c r="S22" s="15" t="n">
        <v>0</v>
      </c>
      <c r="T22" s="17">
        <f>SUM(D22:S22)</f>
        <v>10.0</v>
      </c>
    </row>
    <row r="23">
      <c r="A23" s="6" t="inlineStr">
        <is>
          <t>クレッシェンド</t>
        </is>
      </c>
      <c r="B23" s="6" t="inlineStr">
        <is>
          <t>仲介手数料（ストライク・成約時 最低報酬2,000万円）</t>
        </is>
      </c>
      <c r="C23" s="18" t="inlineStr">
        <is>
          <t>共通</t>
        </is>
      </c>
      <c r="D23" s="15" t="n">
        <v>0</v>
      </c>
      <c r="E23" s="15" t="n">
        <v>0</v>
      </c>
      <c r="F23" s="15" t="n">
        <v>22</v>
      </c>
      <c r="G23" s="15" t="n">
        <v>0</v>
      </c>
      <c r="H23" s="15" t="n">
        <v>0</v>
      </c>
      <c r="I23" s="15" t="n">
        <v>0</v>
      </c>
      <c r="J23" s="15" t="n">
        <v>0</v>
      </c>
      <c r="K23" s="15" t="n">
        <v>0</v>
      </c>
      <c r="L23" s="15" t="n">
        <v>0</v>
      </c>
      <c r="M23" s="15" t="n">
        <v>0</v>
      </c>
      <c r="N23" s="15" t="n">
        <v>0</v>
      </c>
      <c r="O23" s="15" t="n">
        <v>0</v>
      </c>
      <c r="P23" s="15" t="n">
        <v>0</v>
      </c>
      <c r="Q23" s="15" t="n">
        <v>0</v>
      </c>
      <c r="R23" s="15" t="n">
        <v>0</v>
      </c>
      <c r="S23" s="15" t="n">
        <v>0</v>
      </c>
      <c r="T23" s="17">
        <f>SUM(D23:S23)</f>
        <v>22.0</v>
      </c>
    </row>
    <row r="24">
      <c r="A24" s="6" t="inlineStr">
        <is>
          <t>クレッシェンド</t>
        </is>
      </c>
      <c r="B24" s="6" t="inlineStr">
        <is>
          <t>引継ぎ報酬 1×6ヶ月（HD負担の場合）</t>
        </is>
      </c>
      <c r="C24" s="18" t="inlineStr">
        <is>
          <t>現行</t>
        </is>
      </c>
      <c r="D24" s="15" t="n">
        <v>0</v>
      </c>
      <c r="E24" s="15" t="n">
        <v>0</v>
      </c>
      <c r="F24" s="15" t="n">
        <v>0</v>
      </c>
      <c r="G24" s="15" t="n">
        <v>1</v>
      </c>
      <c r="H24" s="15" t="n">
        <v>1</v>
      </c>
      <c r="I24" s="15" t="n">
        <v>1</v>
      </c>
      <c r="J24" s="15" t="n">
        <v>1</v>
      </c>
      <c r="K24" s="15" t="n">
        <v>1</v>
      </c>
      <c r="L24" s="15" t="n">
        <v>1</v>
      </c>
      <c r="M24" s="15" t="n">
        <v>0</v>
      </c>
      <c r="N24" s="15" t="n">
        <v>0</v>
      </c>
      <c r="O24" s="15" t="n">
        <v>0</v>
      </c>
      <c r="P24" s="15" t="n">
        <v>0</v>
      </c>
      <c r="Q24" s="15" t="n">
        <v>0</v>
      </c>
      <c r="R24" s="15" t="n">
        <v>0</v>
      </c>
      <c r="S24" s="15" t="n">
        <v>0</v>
      </c>
      <c r="T24" s="17">
        <f>SUM(D24:S24)</f>
        <v>6</v>
      </c>
    </row>
    <row r="25">
      <c r="A25" s="6" t="inlineStr">
        <is>
          <t>クレッシェンド</t>
        </is>
      </c>
      <c r="B25" s="6" t="inlineStr">
        <is>
          <t>退職金73の原資：EEFUL貸付</t>
        </is>
      </c>
      <c r="C25" s="18" t="inlineStr">
        <is>
          <t>現行</t>
        </is>
      </c>
      <c r="D25" s="15" t="n">
        <v>0</v>
      </c>
      <c r="E25" s="15" t="n">
        <v>0</v>
      </c>
      <c r="F25" s="15" t="n">
        <v>0</v>
      </c>
      <c r="G25" s="15" t="n">
        <v>0</v>
      </c>
      <c r="H25" s="15" t="n">
        <v>0</v>
      </c>
      <c r="I25" s="15" t="n">
        <v>0</v>
      </c>
      <c r="J25" s="15" t="n">
        <v>0</v>
      </c>
      <c r="K25" s="15" t="n">
        <v>0</v>
      </c>
      <c r="L25" s="15" t="n">
        <v>50</v>
      </c>
      <c r="M25" s="15" t="n">
        <v>0</v>
      </c>
      <c r="N25" s="15" t="n">
        <v>0</v>
      </c>
      <c r="O25" s="15" t="n">
        <v>0</v>
      </c>
      <c r="P25" s="15" t="n">
        <v>0</v>
      </c>
      <c r="Q25" s="15" t="n">
        <v>0</v>
      </c>
      <c r="R25" s="15" t="n">
        <v>0</v>
      </c>
      <c r="S25" s="15" t="n">
        <v>0</v>
      </c>
      <c r="T25" s="17">
        <f>SUM(D25:S25)</f>
        <v>50.0</v>
      </c>
    </row>
    <row r="26">
      <c r="A26" s="6" t="inlineStr">
        <is>
          <t>クレッシェンド</t>
        </is>
      </c>
      <c r="B26" s="6" t="inlineStr">
        <is>
          <t>退職金73の原資：対象会社の銀行借入（HD保証）に置換、引継ぎ報酬は対象会社負担</t>
        </is>
      </c>
      <c r="C26" s="18" t="inlineStr">
        <is>
          <t>最小化</t>
        </is>
      </c>
      <c r="D26" s="15" t="n">
        <v>0</v>
      </c>
      <c r="E26" s="15" t="n">
        <v>0</v>
      </c>
      <c r="F26" s="15" t="n">
        <v>0</v>
      </c>
      <c r="G26" s="15" t="n">
        <v>0</v>
      </c>
      <c r="H26" s="15" t="n">
        <v>0</v>
      </c>
      <c r="I26" s="15" t="n">
        <v>0</v>
      </c>
      <c r="J26" s="15" t="n">
        <v>0</v>
      </c>
      <c r="K26" s="15" t="n">
        <v>0</v>
      </c>
      <c r="L26" s="15" t="n">
        <v>0</v>
      </c>
      <c r="M26" s="15" t="n">
        <v>0</v>
      </c>
      <c r="N26" s="15" t="n">
        <v>0</v>
      </c>
      <c r="O26" s="15" t="n">
        <v>0</v>
      </c>
      <c r="P26" s="15" t="n">
        <v>0</v>
      </c>
      <c r="Q26" s="15" t="n">
        <v>0</v>
      </c>
      <c r="R26" s="15" t="n">
        <v>0</v>
      </c>
      <c r="S26" s="15" t="n">
        <v>0</v>
      </c>
      <c r="T26" s="17">
        <f>SUM(D26:S26)</f>
        <v>0</v>
      </c>
    </row>
    <row r="27">
      <c r="A27" s="6" t="inlineStr">
        <is>
          <t>ワイズケア</t>
        </is>
      </c>
      <c r="B27" s="6" t="inlineStr">
        <is>
          <t>DD費用（2社）</t>
        </is>
      </c>
      <c r="C27" s="18" t="inlineStr">
        <is>
          <t>共通</t>
        </is>
      </c>
      <c r="D27" s="15" t="n">
        <v>0</v>
      </c>
      <c r="E27" s="15" t="n">
        <v>4</v>
      </c>
      <c r="F27" s="15" t="n">
        <v>0</v>
      </c>
      <c r="G27" s="15" t="n">
        <v>0</v>
      </c>
      <c r="H27" s="15" t="n">
        <v>0</v>
      </c>
      <c r="I27" s="15" t="n">
        <v>0</v>
      </c>
      <c r="J27" s="15" t="n">
        <v>0</v>
      </c>
      <c r="K27" s="15" t="n">
        <v>0</v>
      </c>
      <c r="L27" s="15" t="n">
        <v>0</v>
      </c>
      <c r="M27" s="15" t="n">
        <v>0</v>
      </c>
      <c r="N27" s="15" t="n">
        <v>0</v>
      </c>
      <c r="O27" s="15" t="n">
        <v>0</v>
      </c>
      <c r="P27" s="15" t="n">
        <v>0</v>
      </c>
      <c r="Q27" s="15" t="n">
        <v>0</v>
      </c>
      <c r="R27" s="15" t="n">
        <v>0</v>
      </c>
      <c r="S27" s="15" t="n">
        <v>0</v>
      </c>
      <c r="T27" s="17">
        <f>SUM(D27:S27)</f>
        <v>4.0</v>
      </c>
    </row>
    <row r="28">
      <c r="A28" s="6" t="inlineStr">
        <is>
          <t>ワイズケア</t>
        </is>
      </c>
      <c r="B28" s="6" t="inlineStr">
        <is>
          <t>中間報酬（M&amp;A総研・成功報酬の10%・返還不可）</t>
        </is>
      </c>
      <c r="C28" s="18" t="inlineStr">
        <is>
          <t>共通</t>
        </is>
      </c>
      <c r="D28" s="15" t="n">
        <v>0</v>
      </c>
      <c r="E28" s="15" t="n">
        <v>4.7</v>
      </c>
      <c r="F28" s="15" t="n">
        <v>0</v>
      </c>
      <c r="G28" s="15" t="n">
        <v>0</v>
      </c>
      <c r="H28" s="15" t="n">
        <v>0</v>
      </c>
      <c r="I28" s="15" t="n">
        <v>0</v>
      </c>
      <c r="J28" s="15" t="n">
        <v>0</v>
      </c>
      <c r="K28" s="15" t="n">
        <v>0</v>
      </c>
      <c r="L28" s="15" t="n">
        <v>0</v>
      </c>
      <c r="M28" s="15" t="n">
        <v>0</v>
      </c>
      <c r="N28" s="15" t="n">
        <v>0</v>
      </c>
      <c r="O28" s="15" t="n">
        <v>0</v>
      </c>
      <c r="P28" s="15" t="n">
        <v>0</v>
      </c>
      <c r="Q28" s="15" t="n">
        <v>0</v>
      </c>
      <c r="R28" s="15" t="n">
        <v>0</v>
      </c>
      <c r="S28" s="15" t="n">
        <v>0</v>
      </c>
      <c r="T28" s="17">
        <f>SUM(D28:S28)</f>
        <v>4.7</v>
      </c>
    </row>
    <row r="29">
      <c r="A29" s="6" t="inlineStr">
        <is>
          <t>ワイズケア</t>
        </is>
      </c>
      <c r="B29" s="6" t="inlineStr">
        <is>
          <t>成功報酬（M&amp;A総研・移動総資産レーマン 42.7税抜−中間）</t>
        </is>
      </c>
      <c r="C29" s="18" t="inlineStr">
        <is>
          <t>共通</t>
        </is>
      </c>
      <c r="D29" s="15" t="n">
        <v>0</v>
      </c>
      <c r="E29" s="15" t="n">
        <v>0</v>
      </c>
      <c r="F29" s="15" t="n">
        <v>42.3</v>
      </c>
      <c r="G29" s="15" t="n">
        <v>0</v>
      </c>
      <c r="H29" s="15" t="n">
        <v>0</v>
      </c>
      <c r="I29" s="15" t="n">
        <v>0</v>
      </c>
      <c r="J29" s="15" t="n">
        <v>0</v>
      </c>
      <c r="K29" s="15" t="n">
        <v>0</v>
      </c>
      <c r="L29" s="15" t="n">
        <v>0</v>
      </c>
      <c r="M29" s="15" t="n">
        <v>0</v>
      </c>
      <c r="N29" s="15" t="n">
        <v>0</v>
      </c>
      <c r="O29" s="15" t="n">
        <v>0</v>
      </c>
      <c r="P29" s="15" t="n">
        <v>0</v>
      </c>
      <c r="Q29" s="15" t="n">
        <v>0</v>
      </c>
      <c r="R29" s="15" t="n">
        <v>0</v>
      </c>
      <c r="S29" s="15" t="n">
        <v>0</v>
      </c>
      <c r="T29" s="17">
        <f>SUM(D29:S29)</f>
        <v>42.3</v>
      </c>
    </row>
    <row r="30">
      <c r="A30" s="6" t="inlineStr">
        <is>
          <t>ワイズケア</t>
        </is>
      </c>
      <c r="B30" s="6" t="inlineStr">
        <is>
          <t>株式対価（A案 215・全額HD）</t>
        </is>
      </c>
      <c r="C30" s="18" t="inlineStr">
        <is>
          <t>現行</t>
        </is>
      </c>
      <c r="D30" s="15" t="n">
        <v>0</v>
      </c>
      <c r="E30" s="15" t="n">
        <v>0</v>
      </c>
      <c r="F30" s="15" t="n">
        <v>215</v>
      </c>
      <c r="G30" s="15" t="n">
        <v>0</v>
      </c>
      <c r="H30" s="15" t="n">
        <v>0</v>
      </c>
      <c r="I30" s="15" t="n">
        <v>0</v>
      </c>
      <c r="J30" s="15" t="n">
        <v>0</v>
      </c>
      <c r="K30" s="15" t="n">
        <v>0</v>
      </c>
      <c r="L30" s="15" t="n">
        <v>0</v>
      </c>
      <c r="M30" s="15" t="n">
        <v>0</v>
      </c>
      <c r="N30" s="15" t="n">
        <v>0</v>
      </c>
      <c r="O30" s="15" t="n">
        <v>0</v>
      </c>
      <c r="P30" s="15" t="n">
        <v>0</v>
      </c>
      <c r="Q30" s="15" t="n">
        <v>0</v>
      </c>
      <c r="R30" s="15" t="n">
        <v>0</v>
      </c>
      <c r="S30" s="15" t="n">
        <v>0</v>
      </c>
      <c r="T30" s="17">
        <f>SUM(D30:S30)</f>
        <v>215.0</v>
      </c>
    </row>
    <row r="31">
      <c r="A31" s="6" t="inlineStr">
        <is>
          <t>ワイズケア</t>
        </is>
      </c>
      <c r="B31" s="6" t="inlineStr">
        <is>
          <t>株式対価165（退職慰労金50を対象会社現金で支給）</t>
        </is>
      </c>
      <c r="C31" s="18" t="inlineStr">
        <is>
          <t>最小化</t>
        </is>
      </c>
      <c r="D31" s="15" t="n">
        <v>0</v>
      </c>
      <c r="E31" s="15" t="n">
        <v>0</v>
      </c>
      <c r="F31" s="15" t="n">
        <v>165</v>
      </c>
      <c r="G31" s="15" t="n">
        <v>0</v>
      </c>
      <c r="H31" s="15" t="n">
        <v>0</v>
      </c>
      <c r="I31" s="15" t="n">
        <v>0</v>
      </c>
      <c r="J31" s="15" t="n">
        <v>0</v>
      </c>
      <c r="K31" s="15" t="n">
        <v>0</v>
      </c>
      <c r="L31" s="15" t="n">
        <v>0</v>
      </c>
      <c r="M31" s="15" t="n">
        <v>0</v>
      </c>
      <c r="N31" s="15" t="n">
        <v>0</v>
      </c>
      <c r="O31" s="15" t="n">
        <v>0</v>
      </c>
      <c r="P31" s="15" t="n">
        <v>0</v>
      </c>
      <c r="Q31" s="15" t="n">
        <v>0</v>
      </c>
      <c r="R31" s="15" t="n">
        <v>0</v>
      </c>
      <c r="S31" s="15" t="n">
        <v>0</v>
      </c>
      <c r="T31" s="17">
        <f>SUM(D31:S31)</f>
        <v>165.0</v>
      </c>
    </row>
    <row r="32">
      <c r="A32" s="6" t="inlineStr">
        <is>
          <t>ワイズケア</t>
        </is>
      </c>
      <c r="B32" s="6" t="inlineStr">
        <is>
          <t>対象会社レベルの買収ローン80（EBITDA38〜66・net cash50を裏付け）</t>
        </is>
      </c>
      <c r="C32" s="18" t="inlineStr">
        <is>
          <t>最小化</t>
        </is>
      </c>
      <c r="D32" s="15" t="n">
        <v>0</v>
      </c>
      <c r="E32" s="15" t="n">
        <v>0</v>
      </c>
      <c r="F32" s="15" t="n">
        <v>-80</v>
      </c>
      <c r="G32" s="15" t="n">
        <v>0</v>
      </c>
      <c r="H32" s="15" t="n">
        <v>0</v>
      </c>
      <c r="I32" s="15" t="n">
        <v>0</v>
      </c>
      <c r="J32" s="15" t="n">
        <v>0</v>
      </c>
      <c r="K32" s="15" t="n">
        <v>0</v>
      </c>
      <c r="L32" s="15" t="n">
        <v>0</v>
      </c>
      <c r="M32" s="15" t="n">
        <v>0</v>
      </c>
      <c r="N32" s="15" t="n">
        <v>0</v>
      </c>
      <c r="O32" s="15" t="n">
        <v>0</v>
      </c>
      <c r="P32" s="15" t="n">
        <v>0</v>
      </c>
      <c r="Q32" s="15" t="n">
        <v>0</v>
      </c>
      <c r="R32" s="15" t="n">
        <v>0</v>
      </c>
      <c r="S32" s="15" t="n">
        <v>0</v>
      </c>
      <c r="T32" s="17">
        <f>SUM(D32:S32)</f>
        <v>-80.0</v>
      </c>
    </row>
    <row r="33">
      <c r="A33" s="6" t="inlineStr">
        <is>
          <t>エーステイスト</t>
        </is>
      </c>
      <c r="B33" s="6" t="inlineStr">
        <is>
          <t>中間報酬（MACP）</t>
        </is>
      </c>
      <c r="C33" s="18" t="inlineStr">
        <is>
          <t>共通</t>
        </is>
      </c>
      <c r="D33" s="15" t="n">
        <v>0</v>
      </c>
      <c r="E33" s="15" t="n">
        <v>2.75</v>
      </c>
      <c r="F33" s="15" t="n">
        <v>0</v>
      </c>
      <c r="G33" s="15" t="n">
        <v>0</v>
      </c>
      <c r="H33" s="15" t="n">
        <v>0</v>
      </c>
      <c r="I33" s="15" t="n">
        <v>0</v>
      </c>
      <c r="J33" s="15" t="n">
        <v>0</v>
      </c>
      <c r="K33" s="15" t="n">
        <v>0</v>
      </c>
      <c r="L33" s="15" t="n">
        <v>0</v>
      </c>
      <c r="M33" s="15" t="n">
        <v>0</v>
      </c>
      <c r="N33" s="15" t="n">
        <v>0</v>
      </c>
      <c r="O33" s="15" t="n">
        <v>0</v>
      </c>
      <c r="P33" s="15" t="n">
        <v>0</v>
      </c>
      <c r="Q33" s="15" t="n">
        <v>0</v>
      </c>
      <c r="R33" s="15" t="n">
        <v>0</v>
      </c>
      <c r="S33" s="15" t="n">
        <v>0</v>
      </c>
      <c r="T33" s="17">
        <f>SUM(D33:S33)</f>
        <v>2.75</v>
      </c>
    </row>
    <row r="34">
      <c r="A34" s="6" t="inlineStr">
        <is>
          <t>エーステイスト</t>
        </is>
      </c>
      <c r="B34" s="6" t="inlineStr">
        <is>
          <t>DD費用</t>
        </is>
      </c>
      <c r="C34" s="18" t="inlineStr">
        <is>
          <t>共通</t>
        </is>
      </c>
      <c r="D34" s="15" t="n">
        <v>0</v>
      </c>
      <c r="E34" s="15" t="n">
        <v>0</v>
      </c>
      <c r="F34" s="15" t="n">
        <v>2</v>
      </c>
      <c r="G34" s="15" t="n">
        <v>0</v>
      </c>
      <c r="H34" s="15" t="n">
        <v>0</v>
      </c>
      <c r="I34" s="15" t="n">
        <v>0</v>
      </c>
      <c r="J34" s="15" t="n">
        <v>0</v>
      </c>
      <c r="K34" s="15" t="n">
        <v>0</v>
      </c>
      <c r="L34" s="15" t="n">
        <v>0</v>
      </c>
      <c r="M34" s="15" t="n">
        <v>0</v>
      </c>
      <c r="N34" s="15" t="n">
        <v>0</v>
      </c>
      <c r="O34" s="15" t="n">
        <v>0</v>
      </c>
      <c r="P34" s="15" t="n">
        <v>0</v>
      </c>
      <c r="Q34" s="15" t="n">
        <v>0</v>
      </c>
      <c r="R34" s="15" t="n">
        <v>0</v>
      </c>
      <c r="S34" s="15" t="n">
        <v>0</v>
      </c>
      <c r="T34" s="17">
        <f>SUM(D34:S34)</f>
        <v>2.0</v>
      </c>
    </row>
    <row r="35">
      <c r="A35" s="6" t="inlineStr">
        <is>
          <t>エーステイスト</t>
        </is>
      </c>
      <c r="B35" s="6" t="inlineStr">
        <is>
          <t>事業譲渡対価（税込）</t>
        </is>
      </c>
      <c r="C35" s="18" t="inlineStr">
        <is>
          <t>共通</t>
        </is>
      </c>
      <c r="D35" s="15" t="n">
        <v>0</v>
      </c>
      <c r="E35" s="15" t="n">
        <v>0</v>
      </c>
      <c r="F35" s="15" t="n">
        <v>0</v>
      </c>
      <c r="G35" s="15" t="n">
        <v>45</v>
      </c>
      <c r="H35" s="15" t="n">
        <v>0</v>
      </c>
      <c r="I35" s="15" t="n">
        <v>0</v>
      </c>
      <c r="J35" s="15" t="n">
        <v>0</v>
      </c>
      <c r="K35" s="15" t="n">
        <v>0</v>
      </c>
      <c r="L35" s="15" t="n">
        <v>0</v>
      </c>
      <c r="M35" s="15" t="n">
        <v>0</v>
      </c>
      <c r="N35" s="15" t="n">
        <v>0</v>
      </c>
      <c r="O35" s="15" t="n">
        <v>0</v>
      </c>
      <c r="P35" s="15" t="n">
        <v>0</v>
      </c>
      <c r="Q35" s="15" t="n">
        <v>0</v>
      </c>
      <c r="R35" s="15" t="n">
        <v>0</v>
      </c>
      <c r="S35" s="15" t="n">
        <v>0</v>
      </c>
      <c r="T35" s="17">
        <f>SUM(D35:S35)</f>
        <v>45.0</v>
      </c>
    </row>
    <row r="36">
      <c r="A36" s="6" t="inlineStr">
        <is>
          <t>エーステイスト</t>
        </is>
      </c>
      <c r="B36" s="6" t="inlineStr">
        <is>
          <t>成功報酬（MACP・最低報酬2,500万円−中間）</t>
        </is>
      </c>
      <c r="C36" s="18" t="inlineStr">
        <is>
          <t>共通</t>
        </is>
      </c>
      <c r="D36" s="15" t="n">
        <v>0</v>
      </c>
      <c r="E36" s="15" t="n">
        <v>0</v>
      </c>
      <c r="F36" s="15" t="n">
        <v>0</v>
      </c>
      <c r="G36" s="15" t="n">
        <v>24.75</v>
      </c>
      <c r="H36" s="15" t="n">
        <v>0</v>
      </c>
      <c r="I36" s="15" t="n">
        <v>0</v>
      </c>
      <c r="J36" s="15" t="n">
        <v>0</v>
      </c>
      <c r="K36" s="15" t="n">
        <v>0</v>
      </c>
      <c r="L36" s="15" t="n">
        <v>0</v>
      </c>
      <c r="M36" s="15" t="n">
        <v>0</v>
      </c>
      <c r="N36" s="15" t="n">
        <v>0</v>
      </c>
      <c r="O36" s="15" t="n">
        <v>0</v>
      </c>
      <c r="P36" s="15" t="n">
        <v>0</v>
      </c>
      <c r="Q36" s="15" t="n">
        <v>0</v>
      </c>
      <c r="R36" s="15" t="n">
        <v>0</v>
      </c>
      <c r="S36" s="15" t="n">
        <v>0</v>
      </c>
      <c r="T36" s="17">
        <f>SUM(D36:S36)</f>
        <v>24.75</v>
      </c>
    </row>
    <row r="37">
      <c r="A37" s="6" t="inlineStr">
        <is>
          <t>日本経営センター</t>
        </is>
      </c>
      <c r="B37" s="6" t="inlineStr">
        <is>
          <t>DD費用</t>
        </is>
      </c>
      <c r="C37" s="18" t="inlineStr">
        <is>
          <t>共通</t>
        </is>
      </c>
      <c r="D37" s="15" t="n">
        <v>0</v>
      </c>
      <c r="E37" s="15" t="n">
        <v>0</v>
      </c>
      <c r="F37" s="15" t="n">
        <v>0</v>
      </c>
      <c r="G37" s="15" t="n">
        <v>2</v>
      </c>
      <c r="H37" s="15" t="n">
        <v>0</v>
      </c>
      <c r="I37" s="15" t="n">
        <v>0</v>
      </c>
      <c r="J37" s="15" t="n">
        <v>0</v>
      </c>
      <c r="K37" s="15" t="n">
        <v>0</v>
      </c>
      <c r="L37" s="15" t="n">
        <v>0</v>
      </c>
      <c r="M37" s="15" t="n">
        <v>0</v>
      </c>
      <c r="N37" s="15" t="n">
        <v>0</v>
      </c>
      <c r="O37" s="15" t="n">
        <v>0</v>
      </c>
      <c r="P37" s="15" t="n">
        <v>0</v>
      </c>
      <c r="Q37" s="15" t="n">
        <v>0</v>
      </c>
      <c r="R37" s="15" t="n">
        <v>0</v>
      </c>
      <c r="S37" s="15" t="n">
        <v>0</v>
      </c>
      <c r="T37" s="17">
        <f>SUM(D37:S37)</f>
        <v>2.0</v>
      </c>
    </row>
    <row r="38">
      <c r="A38" s="6" t="inlineStr">
        <is>
          <t>日本経営センター</t>
        </is>
      </c>
      <c r="B38" s="6" t="inlineStr">
        <is>
          <t>中間報酬（MACP）</t>
        </is>
      </c>
      <c r="C38" s="18" t="inlineStr">
        <is>
          <t>共通</t>
        </is>
      </c>
      <c r="D38" s="15" t="n">
        <v>0</v>
      </c>
      <c r="E38" s="15" t="n">
        <v>0</v>
      </c>
      <c r="F38" s="15" t="n">
        <v>0</v>
      </c>
      <c r="G38" s="15" t="n">
        <v>2.75</v>
      </c>
      <c r="H38" s="15" t="n">
        <v>0</v>
      </c>
      <c r="I38" s="15" t="n">
        <v>0</v>
      </c>
      <c r="J38" s="15" t="n">
        <v>0</v>
      </c>
      <c r="K38" s="15" t="n">
        <v>0</v>
      </c>
      <c r="L38" s="15" t="n">
        <v>0</v>
      </c>
      <c r="M38" s="15" t="n">
        <v>0</v>
      </c>
      <c r="N38" s="15" t="n">
        <v>0</v>
      </c>
      <c r="O38" s="15" t="n">
        <v>0</v>
      </c>
      <c r="P38" s="15" t="n">
        <v>0</v>
      </c>
      <c r="Q38" s="15" t="n">
        <v>0</v>
      </c>
      <c r="R38" s="15" t="n">
        <v>0</v>
      </c>
      <c r="S38" s="15" t="n">
        <v>0</v>
      </c>
      <c r="T38" s="17">
        <f>SUM(D38:S38)</f>
        <v>2.75</v>
      </c>
    </row>
    <row r="39">
      <c r="A39" s="6" t="inlineStr">
        <is>
          <t>日本経営センター</t>
        </is>
      </c>
      <c r="B39" s="6" t="inlineStr">
        <is>
          <t>成功報酬（MACP・最低報酬2,500万円−中間）</t>
        </is>
      </c>
      <c r="C39" s="18" t="inlineStr">
        <is>
          <t>共通</t>
        </is>
      </c>
      <c r="D39" s="15" t="n">
        <v>0</v>
      </c>
      <c r="E39" s="15" t="n">
        <v>0</v>
      </c>
      <c r="F39" s="15" t="n">
        <v>0</v>
      </c>
      <c r="G39" s="15" t="n">
        <v>0</v>
      </c>
      <c r="H39" s="15" t="n">
        <v>24.75</v>
      </c>
      <c r="I39" s="15" t="n">
        <v>0</v>
      </c>
      <c r="J39" s="15" t="n">
        <v>0</v>
      </c>
      <c r="K39" s="15" t="n">
        <v>0</v>
      </c>
      <c r="L39" s="15" t="n">
        <v>0</v>
      </c>
      <c r="M39" s="15" t="n">
        <v>0</v>
      </c>
      <c r="N39" s="15" t="n">
        <v>0</v>
      </c>
      <c r="O39" s="15" t="n">
        <v>0</v>
      </c>
      <c r="P39" s="15" t="n">
        <v>0</v>
      </c>
      <c r="Q39" s="15" t="n">
        <v>0</v>
      </c>
      <c r="R39" s="15" t="n">
        <v>0</v>
      </c>
      <c r="S39" s="15" t="n">
        <v>0</v>
      </c>
      <c r="T39" s="17">
        <f>SUM(D39:S39)</f>
        <v>24.75</v>
      </c>
    </row>
    <row r="40">
      <c r="A40" s="6" t="inlineStr">
        <is>
          <t>日本経営センター</t>
        </is>
      </c>
      <c r="B40" s="6" t="inlineStr">
        <is>
          <t>株式対価80（時価純資産58.8＋役員借入21.6、全額HD）</t>
        </is>
      </c>
      <c r="C40" s="18" t="inlineStr">
        <is>
          <t>現行</t>
        </is>
      </c>
      <c r="D40" s="15" t="n">
        <v>0</v>
      </c>
      <c r="E40" s="15" t="n">
        <v>0</v>
      </c>
      <c r="F40" s="15" t="n">
        <v>0</v>
      </c>
      <c r="G40" s="15" t="n">
        <v>0</v>
      </c>
      <c r="H40" s="15" t="n">
        <v>80</v>
      </c>
      <c r="I40" s="15" t="n">
        <v>0</v>
      </c>
      <c r="J40" s="15" t="n">
        <v>0</v>
      </c>
      <c r="K40" s="15" t="n">
        <v>0</v>
      </c>
      <c r="L40" s="15" t="n">
        <v>0</v>
      </c>
      <c r="M40" s="15" t="n">
        <v>0</v>
      </c>
      <c r="N40" s="15" t="n">
        <v>0</v>
      </c>
      <c r="O40" s="15" t="n">
        <v>0</v>
      </c>
      <c r="P40" s="15" t="n">
        <v>0</v>
      </c>
      <c r="Q40" s="15" t="n">
        <v>0</v>
      </c>
      <c r="R40" s="15" t="n">
        <v>0</v>
      </c>
      <c r="S40" s="15" t="n">
        <v>0</v>
      </c>
      <c r="T40" s="17">
        <f>SUM(D40:S40)</f>
        <v>80.0</v>
      </c>
    </row>
    <row r="41">
      <c r="A41" s="6" t="inlineStr">
        <is>
          <t>日本経営センター</t>
        </is>
      </c>
      <c r="B41" s="6" t="inlineStr">
        <is>
          <t>株式対価63（役員借入返済17を対象会社現金で、奥様・息子退任＋退職金）</t>
        </is>
      </c>
      <c r="C41" s="18" t="inlineStr">
        <is>
          <t>最小化</t>
        </is>
      </c>
      <c r="D41" s="15" t="n">
        <v>0</v>
      </c>
      <c r="E41" s="15" t="n">
        <v>0</v>
      </c>
      <c r="F41" s="15" t="n">
        <v>0</v>
      </c>
      <c r="G41" s="15" t="n">
        <v>0</v>
      </c>
      <c r="H41" s="15" t="n">
        <v>63</v>
      </c>
      <c r="I41" s="15" t="n">
        <v>0</v>
      </c>
      <c r="J41" s="15" t="n">
        <v>0</v>
      </c>
      <c r="K41" s="15" t="n">
        <v>0</v>
      </c>
      <c r="L41" s="15" t="n">
        <v>0</v>
      </c>
      <c r="M41" s="15" t="n">
        <v>0</v>
      </c>
      <c r="N41" s="15" t="n">
        <v>0</v>
      </c>
      <c r="O41" s="15" t="n">
        <v>0</v>
      </c>
      <c r="P41" s="15" t="n">
        <v>0</v>
      </c>
      <c r="Q41" s="15" t="n">
        <v>0</v>
      </c>
      <c r="R41" s="15" t="n">
        <v>0</v>
      </c>
      <c r="S41" s="15" t="n">
        <v>0</v>
      </c>
      <c r="T41" s="17">
        <f>SUM(D41:S41)</f>
        <v>63.0</v>
      </c>
    </row>
    <row r="42">
      <c r="A42" s="6" t="inlineStr">
        <is>
          <t>セレサ</t>
        </is>
      </c>
      <c r="B42" s="6" t="inlineStr">
        <is>
          <t>DD費用</t>
        </is>
      </c>
      <c r="C42" s="18" t="inlineStr">
        <is>
          <t>共通</t>
        </is>
      </c>
      <c r="D42" s="15" t="n">
        <v>0</v>
      </c>
      <c r="E42" s="15" t="n">
        <v>0</v>
      </c>
      <c r="F42" s="15" t="n">
        <v>0</v>
      </c>
      <c r="G42" s="15" t="n">
        <v>0</v>
      </c>
      <c r="H42" s="15" t="n">
        <v>0</v>
      </c>
      <c r="I42" s="15" t="n">
        <v>1.5</v>
      </c>
      <c r="J42" s="15" t="n">
        <v>0</v>
      </c>
      <c r="K42" s="15" t="n">
        <v>0</v>
      </c>
      <c r="L42" s="15" t="n">
        <v>0</v>
      </c>
      <c r="M42" s="15" t="n">
        <v>0</v>
      </c>
      <c r="N42" s="15" t="n">
        <v>0</v>
      </c>
      <c r="O42" s="15" t="n">
        <v>0</v>
      </c>
      <c r="P42" s="15" t="n">
        <v>0</v>
      </c>
      <c r="Q42" s="15" t="n">
        <v>0</v>
      </c>
      <c r="R42" s="15" t="n">
        <v>0</v>
      </c>
      <c r="S42" s="15" t="n">
        <v>0</v>
      </c>
      <c r="T42" s="17">
        <f>SUM(D42:S42)</f>
        <v>1.5</v>
      </c>
    </row>
    <row r="43">
      <c r="A43" s="6" t="inlineStr">
        <is>
          <t>セレサ</t>
        </is>
      </c>
      <c r="B43" s="6" t="inlineStr">
        <is>
          <t>中間報酬（SMS見積8/5）</t>
        </is>
      </c>
      <c r="C43" s="18" t="inlineStr">
        <is>
          <t>共通</t>
        </is>
      </c>
      <c r="D43" s="15" t="n">
        <v>0</v>
      </c>
      <c r="E43" s="15" t="n">
        <v>0</v>
      </c>
      <c r="F43" s="15" t="n">
        <v>0</v>
      </c>
      <c r="G43" s="15" t="n">
        <v>0</v>
      </c>
      <c r="H43" s="15" t="n">
        <v>0</v>
      </c>
      <c r="I43" s="15" t="n">
        <v>0.6</v>
      </c>
      <c r="J43" s="15" t="n">
        <v>0</v>
      </c>
      <c r="K43" s="15" t="n">
        <v>0</v>
      </c>
      <c r="L43" s="15" t="n">
        <v>0</v>
      </c>
      <c r="M43" s="15" t="n">
        <v>0</v>
      </c>
      <c r="N43" s="15" t="n">
        <v>0</v>
      </c>
      <c r="O43" s="15" t="n">
        <v>0</v>
      </c>
      <c r="P43" s="15" t="n">
        <v>0</v>
      </c>
      <c r="Q43" s="15" t="n">
        <v>0</v>
      </c>
      <c r="R43" s="15" t="n">
        <v>0</v>
      </c>
      <c r="S43" s="15" t="n">
        <v>0</v>
      </c>
      <c r="T43" s="17">
        <f>SUM(D43:S43)</f>
        <v>0.6</v>
      </c>
    </row>
    <row r="44">
      <c r="A44" s="6" t="inlineStr">
        <is>
          <t>セレサ</t>
        </is>
      </c>
      <c r="B44" s="6" t="inlineStr">
        <is>
          <t>株式対価（130−譲渡前配当81.4）</t>
        </is>
      </c>
      <c r="C44" s="18" t="inlineStr">
        <is>
          <t>共通</t>
        </is>
      </c>
      <c r="D44" s="15" t="n">
        <v>0</v>
      </c>
      <c r="E44" s="15" t="n">
        <v>0</v>
      </c>
      <c r="F44" s="15" t="n">
        <v>0</v>
      </c>
      <c r="G44" s="15" t="n">
        <v>0</v>
      </c>
      <c r="H44" s="15" t="n">
        <v>0</v>
      </c>
      <c r="I44" s="15" t="n">
        <v>0</v>
      </c>
      <c r="J44" s="15" t="n">
        <v>48.6</v>
      </c>
      <c r="K44" s="15" t="n">
        <v>0</v>
      </c>
      <c r="L44" s="15" t="n">
        <v>0</v>
      </c>
      <c r="M44" s="15" t="n">
        <v>0</v>
      </c>
      <c r="N44" s="15" t="n">
        <v>0</v>
      </c>
      <c r="O44" s="15" t="n">
        <v>0</v>
      </c>
      <c r="P44" s="15" t="n">
        <v>0</v>
      </c>
      <c r="Q44" s="15" t="n">
        <v>0</v>
      </c>
      <c r="R44" s="15" t="n">
        <v>0</v>
      </c>
      <c r="S44" s="15" t="n">
        <v>0</v>
      </c>
      <c r="T44" s="17">
        <f>SUM(D44:S44)</f>
        <v>48.6</v>
      </c>
    </row>
    <row r="45">
      <c r="A45" s="6" t="inlineStr">
        <is>
          <t>セレサ</t>
        </is>
      </c>
      <c r="B45" s="6" t="inlineStr">
        <is>
          <t>成功報酬（SMS見積 11.0税抜−中間）</t>
        </is>
      </c>
      <c r="C45" s="18" t="inlineStr">
        <is>
          <t>現行</t>
        </is>
      </c>
      <c r="D45" s="15" t="n">
        <v>0</v>
      </c>
      <c r="E45" s="15" t="n">
        <v>0</v>
      </c>
      <c r="F45" s="15" t="n">
        <v>0</v>
      </c>
      <c r="G45" s="15" t="n">
        <v>0</v>
      </c>
      <c r="H45" s="15" t="n">
        <v>0</v>
      </c>
      <c r="I45" s="15" t="n">
        <v>0</v>
      </c>
      <c r="J45" s="15" t="n">
        <v>11.5</v>
      </c>
      <c r="K45" s="15" t="n">
        <v>0</v>
      </c>
      <c r="L45" s="15" t="n">
        <v>0</v>
      </c>
      <c r="M45" s="15" t="n">
        <v>0</v>
      </c>
      <c r="N45" s="15" t="n">
        <v>0</v>
      </c>
      <c r="O45" s="15" t="n">
        <v>0</v>
      </c>
      <c r="P45" s="15" t="n">
        <v>0</v>
      </c>
      <c r="Q45" s="15" t="n">
        <v>0</v>
      </c>
      <c r="R45" s="15" t="n">
        <v>0</v>
      </c>
      <c r="S45" s="15" t="n">
        <v>0</v>
      </c>
      <c r="T45" s="17">
        <f>SUM(D45:S45)</f>
        <v>11.5</v>
      </c>
    </row>
    <row r="46">
      <c r="A46" s="6" t="inlineStr">
        <is>
          <t>セレサ</t>
        </is>
      </c>
      <c r="B46" s="6" t="inlineStr">
        <is>
          <t>成功報酬（配当除外で再見積 6.3税抜−中間）</t>
        </is>
      </c>
      <c r="C46" s="18" t="inlineStr">
        <is>
          <t>最小化</t>
        </is>
      </c>
      <c r="D46" s="15" t="n">
        <v>0</v>
      </c>
      <c r="E46" s="15" t="n">
        <v>0</v>
      </c>
      <c r="F46" s="15" t="n">
        <v>0</v>
      </c>
      <c r="G46" s="15" t="n">
        <v>0</v>
      </c>
      <c r="H46" s="15" t="n">
        <v>0</v>
      </c>
      <c r="I46" s="15" t="n">
        <v>0</v>
      </c>
      <c r="J46" s="15" t="n">
        <v>6.9</v>
      </c>
      <c r="K46" s="15" t="n">
        <v>0</v>
      </c>
      <c r="L46" s="15" t="n">
        <v>0</v>
      </c>
      <c r="M46" s="15" t="n">
        <v>0</v>
      </c>
      <c r="N46" s="15" t="n">
        <v>0</v>
      </c>
      <c r="O46" s="15" t="n">
        <v>0</v>
      </c>
      <c r="P46" s="15" t="n">
        <v>0</v>
      </c>
      <c r="Q46" s="15" t="n">
        <v>0</v>
      </c>
      <c r="R46" s="15" t="n">
        <v>0</v>
      </c>
      <c r="S46" s="15" t="n">
        <v>0</v>
      </c>
      <c r="T46" s="17">
        <f>SUM(D46:S46)</f>
        <v>6.9</v>
      </c>
    </row>
    <row r="47">
      <c r="A47" s="6" t="inlineStr">
        <is>
          <t>シルバーメディカル</t>
        </is>
      </c>
      <c r="B47" s="6" t="inlineStr">
        <is>
          <t>DD費用（9拠点・財務労務法務）</t>
        </is>
      </c>
      <c r="C47" s="18" t="inlineStr">
        <is>
          <t>共通</t>
        </is>
      </c>
      <c r="D47" s="15" t="n">
        <v>0</v>
      </c>
      <c r="E47" s="15" t="n">
        <v>0</v>
      </c>
      <c r="F47" s="15" t="n">
        <v>5</v>
      </c>
      <c r="G47" s="15" t="n">
        <v>0</v>
      </c>
      <c r="H47" s="15" t="n">
        <v>0</v>
      </c>
      <c r="I47" s="15" t="n">
        <v>0</v>
      </c>
      <c r="J47" s="15" t="n">
        <v>0</v>
      </c>
      <c r="K47" s="15" t="n">
        <v>0</v>
      </c>
      <c r="L47" s="15" t="n">
        <v>0</v>
      </c>
      <c r="M47" s="15" t="n">
        <v>0</v>
      </c>
      <c r="N47" s="15" t="n">
        <v>0</v>
      </c>
      <c r="O47" s="15" t="n">
        <v>0</v>
      </c>
      <c r="P47" s="15" t="n">
        <v>0</v>
      </c>
      <c r="Q47" s="15" t="n">
        <v>0</v>
      </c>
      <c r="R47" s="15" t="n">
        <v>0</v>
      </c>
      <c r="S47" s="15" t="n">
        <v>0</v>
      </c>
      <c r="T47" s="17">
        <f>SUM(D47:S47)</f>
        <v>5.0</v>
      </c>
    </row>
    <row r="48">
      <c r="A48" s="6" t="inlineStr">
        <is>
          <t>シルバーメディカル</t>
        </is>
      </c>
      <c r="B48" s="6" t="inlineStr">
        <is>
          <t>仲介手数料（ストライク・基本合意時）</t>
        </is>
      </c>
      <c r="C48" s="18" t="inlineStr">
        <is>
          <t>共通</t>
        </is>
      </c>
      <c r="D48" s="15" t="n">
        <v>0</v>
      </c>
      <c r="E48" s="15" t="n">
        <v>1.1</v>
      </c>
      <c r="F48" s="15" t="n">
        <v>0</v>
      </c>
      <c r="G48" s="15" t="n">
        <v>0</v>
      </c>
      <c r="H48" s="15" t="n">
        <v>0</v>
      </c>
      <c r="I48" s="15" t="n">
        <v>0</v>
      </c>
      <c r="J48" s="15" t="n">
        <v>0</v>
      </c>
      <c r="K48" s="15" t="n">
        <v>0</v>
      </c>
      <c r="L48" s="15" t="n">
        <v>0</v>
      </c>
      <c r="M48" s="15" t="n">
        <v>0</v>
      </c>
      <c r="N48" s="15" t="n">
        <v>0</v>
      </c>
      <c r="O48" s="15" t="n">
        <v>0</v>
      </c>
      <c r="P48" s="15" t="n">
        <v>0</v>
      </c>
      <c r="Q48" s="15" t="n">
        <v>0</v>
      </c>
      <c r="R48" s="15" t="n">
        <v>0</v>
      </c>
      <c r="S48" s="15" t="n">
        <v>0</v>
      </c>
      <c r="T48" s="17">
        <f>SUM(D48:S48)</f>
        <v>1.1</v>
      </c>
    </row>
    <row r="49">
      <c r="A49" s="6" t="inlineStr">
        <is>
          <t>シルバーメディカル</t>
        </is>
      </c>
      <c r="B49" s="6" t="inlineStr">
        <is>
          <t>仲介手数料（ストライク・成約時 最低報酬2,000万円）</t>
        </is>
      </c>
      <c r="C49" s="18" t="inlineStr">
        <is>
          <t>共通</t>
        </is>
      </c>
      <c r="D49" s="15" t="n">
        <v>0</v>
      </c>
      <c r="E49" s="15" t="n">
        <v>0</v>
      </c>
      <c r="F49" s="15" t="n">
        <v>0</v>
      </c>
      <c r="G49" s="15" t="n">
        <v>22</v>
      </c>
      <c r="H49" s="15" t="n">
        <v>0</v>
      </c>
      <c r="I49" s="15" t="n">
        <v>0</v>
      </c>
      <c r="J49" s="15" t="n">
        <v>0</v>
      </c>
      <c r="K49" s="15" t="n">
        <v>0</v>
      </c>
      <c r="L49" s="15" t="n">
        <v>0</v>
      </c>
      <c r="M49" s="15" t="n">
        <v>0</v>
      </c>
      <c r="N49" s="15" t="n">
        <v>0</v>
      </c>
      <c r="O49" s="15" t="n">
        <v>0</v>
      </c>
      <c r="P49" s="15" t="n">
        <v>0</v>
      </c>
      <c r="Q49" s="15" t="n">
        <v>0</v>
      </c>
      <c r="R49" s="15" t="n">
        <v>0</v>
      </c>
      <c r="S49" s="15" t="n">
        <v>0</v>
      </c>
      <c r="T49" s="17">
        <f>SUM(D49:S49)</f>
        <v>22.0</v>
      </c>
    </row>
    <row r="50">
      <c r="A50" s="6" t="inlineStr">
        <is>
          <t>シルバーメディカル</t>
        </is>
      </c>
      <c r="B50" s="6" t="inlineStr">
        <is>
          <t>対価250のうちHD負担：退職慰労金100を対象会社現金で支給</t>
        </is>
      </c>
      <c r="C50" s="18" t="inlineStr">
        <is>
          <t>現行</t>
        </is>
      </c>
      <c r="D50" s="15" t="n">
        <v>0</v>
      </c>
      <c r="E50" s="15" t="n">
        <v>0</v>
      </c>
      <c r="F50" s="15" t="n">
        <v>0</v>
      </c>
      <c r="G50" s="15" t="n">
        <v>150</v>
      </c>
      <c r="H50" s="15" t="n">
        <v>0</v>
      </c>
      <c r="I50" s="15" t="n">
        <v>0</v>
      </c>
      <c r="J50" s="15" t="n">
        <v>0</v>
      </c>
      <c r="K50" s="15" t="n">
        <v>0</v>
      </c>
      <c r="L50" s="15" t="n">
        <v>0</v>
      </c>
      <c r="M50" s="15" t="n">
        <v>0</v>
      </c>
      <c r="N50" s="15" t="n">
        <v>0</v>
      </c>
      <c r="O50" s="15" t="n">
        <v>0</v>
      </c>
      <c r="P50" s="15" t="n">
        <v>0</v>
      </c>
      <c r="Q50" s="15" t="n">
        <v>0</v>
      </c>
      <c r="R50" s="15" t="n">
        <v>0</v>
      </c>
      <c r="S50" s="15" t="n">
        <v>0</v>
      </c>
      <c r="T50" s="17">
        <f>SUM(D50:S50)</f>
        <v>150.0</v>
      </c>
    </row>
    <row r="51">
      <c r="A51" s="6" t="inlineStr">
        <is>
          <t>シルバーメディカル</t>
        </is>
      </c>
      <c r="B51" s="6" t="inlineStr">
        <is>
          <t>対価250のうちHD負担：退職金100＋役員貸付・未収金58の回収で相殺</t>
        </is>
      </c>
      <c r="C51" s="18" t="inlineStr">
        <is>
          <t>最小化</t>
        </is>
      </c>
      <c r="D51" s="15" t="n">
        <v>0</v>
      </c>
      <c r="E51" s="15" t="n">
        <v>0</v>
      </c>
      <c r="F51" s="15" t="n">
        <v>0</v>
      </c>
      <c r="G51" s="15" t="n">
        <v>92</v>
      </c>
      <c r="H51" s="15" t="n">
        <v>0</v>
      </c>
      <c r="I51" s="15" t="n">
        <v>0</v>
      </c>
      <c r="J51" s="15" t="n">
        <v>0</v>
      </c>
      <c r="K51" s="15" t="n">
        <v>0</v>
      </c>
      <c r="L51" s="15" t="n">
        <v>0</v>
      </c>
      <c r="M51" s="15" t="n">
        <v>0</v>
      </c>
      <c r="N51" s="15" t="n">
        <v>0</v>
      </c>
      <c r="O51" s="15" t="n">
        <v>0</v>
      </c>
      <c r="P51" s="15" t="n">
        <v>0</v>
      </c>
      <c r="Q51" s="15" t="n">
        <v>0</v>
      </c>
      <c r="R51" s="15" t="n">
        <v>0</v>
      </c>
      <c r="S51" s="15" t="n">
        <v>0</v>
      </c>
      <c r="T51" s="17">
        <f>SUM(D51:S51)</f>
        <v>92.0</v>
      </c>
    </row>
    <row r="55">
      <c r="A55" s="4" t="inlineStr">
        <is>
          <t>Net Debt Capacity の前提（連結）</t>
        </is>
      </c>
    </row>
    <row r="56">
      <c r="A56" s="6" t="inlineStr">
        <is>
          <t>オーガニック 調整後EBITDA年換算</t>
        </is>
      </c>
      <c r="B56" t="n"/>
      <c r="C56" s="6" t="inlineStr">
        <is>
          <t>共通</t>
        </is>
      </c>
      <c r="D56" s="15" t="n">
        <v>32</v>
      </c>
      <c r="E56" s="15" t="n">
        <v>34</v>
      </c>
      <c r="F56" s="15" t="n">
        <v>37</v>
      </c>
      <c r="G56" s="15" t="n">
        <v>39</v>
      </c>
      <c r="H56" s="15" t="n">
        <v>60</v>
      </c>
      <c r="I56" s="15" t="n">
        <v>60</v>
      </c>
      <c r="J56" s="15" t="n">
        <v>60</v>
      </c>
      <c r="K56" s="15" t="n">
        <v>60</v>
      </c>
      <c r="L56" s="15" t="n">
        <v>60</v>
      </c>
      <c r="M56" s="15" t="n">
        <v>60</v>
      </c>
      <c r="N56" s="15" t="n">
        <v>60</v>
      </c>
      <c r="O56" s="15" t="n">
        <v>60</v>
      </c>
      <c r="P56" s="15" t="n">
        <v>60</v>
      </c>
      <c r="Q56" s="15" t="n">
        <v>60</v>
      </c>
      <c r="R56" s="15" t="n">
        <v>60</v>
      </c>
      <c r="S56" s="15" t="n">
        <v>60</v>
      </c>
    </row>
    <row r="57">
      <c r="A57" s="6" t="inlineStr">
        <is>
          <t>HT 現預金（12月賞与30を反映）</t>
        </is>
      </c>
      <c r="C57" s="6" t="inlineStr">
        <is>
          <t>共通</t>
        </is>
      </c>
      <c r="D57" s="15" t="n">
        <v>76</v>
      </c>
      <c r="E57" s="15" t="n">
        <v>76</v>
      </c>
      <c r="F57" s="15" t="n">
        <v>76</v>
      </c>
      <c r="G57" s="15" t="n">
        <v>46</v>
      </c>
      <c r="H57" s="15" t="n">
        <v>50</v>
      </c>
      <c r="I57" s="15" t="n">
        <v>50</v>
      </c>
      <c r="J57" s="15" t="n">
        <v>50</v>
      </c>
      <c r="K57" s="15" t="n">
        <v>50</v>
      </c>
      <c r="L57" s="15" t="n">
        <v>50</v>
      </c>
      <c r="M57" s="15" t="n">
        <v>50</v>
      </c>
      <c r="N57" s="15" t="n">
        <v>50</v>
      </c>
      <c r="O57" s="15" t="n">
        <v>50</v>
      </c>
      <c r="P57" s="15" t="n">
        <v>50</v>
      </c>
      <c r="Q57" s="15" t="n">
        <v>50</v>
      </c>
      <c r="R57" s="15" t="n">
        <v>50</v>
      </c>
      <c r="S57" s="15" t="n">
        <v>50</v>
      </c>
    </row>
    <row r="58">
      <c r="A58" s="6" t="inlineStr">
        <is>
          <t>既存有利子負債（8月末414.9から月4.85返済）</t>
        </is>
      </c>
      <c r="C58" s="6" t="inlineStr">
        <is>
          <t>共通</t>
        </is>
      </c>
      <c r="D58" s="17">
        <f>前提!$B$7-1*$B$59</f>
        <v>410.05</v>
      </c>
      <c r="E58" s="17">
        <f>前提!$B$7-2*$B$59</f>
        <v>405.2</v>
      </c>
      <c r="F58" s="17">
        <f>前提!$B$7-3*$B$59</f>
        <v>400.35</v>
      </c>
      <c r="G58" s="17">
        <f>前提!$B$7-4*$B$59</f>
        <v>395.5</v>
      </c>
      <c r="H58" s="17">
        <f>前提!$B$7-5*$B$59</f>
        <v>390.65</v>
      </c>
      <c r="I58" s="17">
        <f>前提!$B$7-6*$B$59</f>
        <v>385.8</v>
      </c>
      <c r="J58" s="17">
        <f>前提!$B$7-7*$B$59</f>
        <v>380.95</v>
      </c>
      <c r="K58" s="17">
        <f>前提!$B$7-8*$B$59</f>
        <v>376.1</v>
      </c>
      <c r="L58" s="17">
        <f>前提!$B$7-9*$B$59</f>
        <v>371.25</v>
      </c>
      <c r="M58" s="17">
        <f>前提!$B$7-10*$B$59</f>
        <v>366.4</v>
      </c>
      <c r="N58" s="17">
        <f>前提!$B$7-11*$B$59</f>
        <v>361.55</v>
      </c>
      <c r="O58" s="17">
        <f>前提!$B$7-12*$B$59</f>
        <v>356.7</v>
      </c>
      <c r="P58" s="17">
        <f>前提!$B$7-13*$B$59</f>
        <v>351.85</v>
      </c>
      <c r="Q58" s="17">
        <f>前提!$B$7-14*$B$59</f>
        <v>347.0</v>
      </c>
      <c r="R58" s="17">
        <f>前提!$B$7-15*$B$59</f>
        <v>342.15</v>
      </c>
      <c r="S58" s="17">
        <f>前提!$B$7-16*$B$59</f>
        <v>337.3</v>
      </c>
    </row>
    <row r="59">
      <c r="A59" s="6" t="inlineStr">
        <is>
          <t>HT 月次元本返済</t>
        </is>
      </c>
      <c r="B59" s="15" t="n">
        <v>4.85</v>
      </c>
    </row>
    <row r="60">
      <c r="A60" s="6" t="inlineStr">
        <is>
          <t>連結売掛金（HD17.7＋HT174）</t>
        </is>
      </c>
      <c r="B60" s="15" t="n">
        <v>192</v>
      </c>
    </row>
    <row r="62">
      <c r="A62" s="2" t="inlineStr">
        <is>
          <t>出所：各案件LOI（シルバーメディカル9/5・ワイズケア9/11・エーステイスト9/15・クレッシェンド9/15）、DD管理表9/18、M&amp;A総研 締結済アドバイザリー業務契約書（7/13）、SMS見積書（8/5）、CBヘルスケア案件概要書（7/14）、ストライク面談記録（7/24）、株主定例議事録8/24週、Slack #eeful-dbc（退職金スキーム検討）。運転資金の貸付は行わない前提。マイナスは対象会社レベル借入等によるHD負担の軽減。</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26" customWidth="1" min="3" max="3"/>
    <col width="10" customWidth="1" min="4" max="4"/>
    <col width="14" customWidth="1" min="5" max="5"/>
    <col width="10" customWidth="1" min="6" max="6"/>
    <col width="12" customWidth="1" min="7" max="7"/>
    <col width="14" customWidth="1" min="8" max="8"/>
    <col width="14" customWidth="1" min="9" max="9"/>
    <col width="16" customWidth="1" min="10" max="10"/>
    <col width="26" customWidth="1" min="11" max="11"/>
    <col width="70" customWidth="1" min="12" max="12"/>
    <col width="14" customWidth="1" min="13" max="13"/>
    <col width="12" customWidth="1" min="14" max="14"/>
    <col width="12" customWidth="1" min="15" max="15"/>
    <col width="14" customWidth="1" min="16" max="16"/>
    <col width="12" customWidth="1" min="17" max="17"/>
  </cols>
  <sheetData>
    <row r="1">
      <c r="A1" s="14" t="inlineStr">
        <is>
          <t>案件一覧（年換算・百万円）— 青字＝入力値、緑字＝他シート参照</t>
        </is>
      </c>
    </row>
    <row r="3">
      <c r="A3" s="3" t="inlineStr">
        <is>
          <t>案件</t>
        </is>
      </c>
      <c r="B3" s="3" t="inlineStr">
        <is>
          <t>ステージ（9/22時点）</t>
        </is>
      </c>
      <c r="C3" s="3" t="inlineStr">
        <is>
          <t>スキーム</t>
        </is>
      </c>
      <c r="D3" s="3" t="inlineStr">
        <is>
          <t>年間売上</t>
        </is>
      </c>
      <c r="E3" s="3" t="inlineStr">
        <is>
          <t>調整後EBITDA（現状）</t>
        </is>
      </c>
      <c r="F3" s="3" t="inlineStr">
        <is>
          <t>同（改善後）</t>
        </is>
      </c>
      <c r="G3" s="3" t="inlineStr">
        <is>
          <t>承継・残置負債</t>
        </is>
      </c>
      <c r="H3" s="3" t="inlineStr">
        <is>
          <t>HD手出し（現行）</t>
        </is>
      </c>
      <c r="I3" s="3" t="inlineStr">
        <is>
          <t>HD手出し（最小化）</t>
        </is>
      </c>
      <c r="J3" s="3" t="inlineStr">
        <is>
          <t>実行時期</t>
        </is>
      </c>
      <c r="K3" s="3" t="inlineStr">
        <is>
          <t>仲介／手数料（税込）</t>
        </is>
      </c>
      <c r="L3" s="3" t="inlineStr">
        <is>
          <t>退職金スキーム・手出し圧縮の考え方</t>
        </is>
      </c>
      <c r="M3" s="3" t="inlineStr">
        <is>
          <t>NDC：クロージング月（列番号 1=2026/9）</t>
        </is>
      </c>
      <c r="N3" s="3" t="inlineStr">
        <is>
          <t>NDC：連結売掛金</t>
        </is>
      </c>
      <c r="O3" s="3" t="inlineStr">
        <is>
          <t>NDC：残置現金</t>
        </is>
      </c>
      <c r="P3" s="3" t="inlineStr">
        <is>
          <t>NDC：対象会社借入（最小化）</t>
        </is>
      </c>
      <c r="Q3" s="3" t="inlineStr">
        <is>
          <t>NDC：借入月（列番号）</t>
        </is>
      </c>
    </row>
    <row r="4" ht="60" customHeight="1">
      <c r="A4" s="4" t="inlineStr">
        <is>
          <t>HT100%化</t>
        </is>
      </c>
      <c r="B4" s="6" t="inlineStr">
        <is>
          <t>実行済</t>
        </is>
      </c>
      <c r="C4" s="6" t="inlineStr">
        <is>
          <t>残株51%取得</t>
        </is>
      </c>
      <c r="D4" s="15" t="n">
        <v>0</v>
      </c>
      <c r="E4" s="15" t="n">
        <v>0</v>
      </c>
      <c r="F4" s="15" t="n">
        <v>0</v>
      </c>
      <c r="G4" s="15" t="n">
        <v>0</v>
      </c>
      <c r="H4" s="12">
        <f>SUMIFS(前提!$T$12:$T$51,前提!$A$12:$A$51,A4,前提!$C$12:$C$51,"共通")+SUMIFS(前提!$T$12:$T$51,前提!$A$12:$A$51,A4,前提!$C$12:$C$51,"現行")</f>
        <v>30.0</v>
      </c>
      <c r="I4" s="12">
        <f>SUMIFS(前提!$T$12:$T$51,前提!$A$12:$A$51,A4,前提!$C$12:$C$51,"共通")+SUMIFS(前提!$T$12:$T$51,前提!$A$12:$A$51,A4,前提!$C$12:$C$51,"最小化")</f>
        <v>30.0</v>
      </c>
      <c r="J4" s="6" t="inlineStr">
        <is>
          <t>2026/9/11</t>
        </is>
      </c>
      <c r="K4" s="6" t="inlineStr">
        <is>
          <t>—</t>
        </is>
      </c>
      <c r="L4" s="19" t="inlineStr">
        <is>
          <t>—</t>
        </is>
      </c>
      <c r="M4" s="20" t="n">
        <v>99</v>
      </c>
      <c r="N4" s="15" t="n">
        <v>0</v>
      </c>
      <c r="O4" s="15" t="n">
        <v>0</v>
      </c>
      <c r="P4" s="15" t="n">
        <v>0</v>
      </c>
      <c r="Q4" s="20" t="n">
        <v>99</v>
      </c>
    </row>
    <row r="5" ht="60" customHeight="1">
      <c r="A5" s="4" t="inlineStr">
        <is>
          <t>メディプロ</t>
        </is>
      </c>
      <c r="B5" s="6" t="inlineStr">
        <is>
          <t>DD（決済11/6）</t>
        </is>
      </c>
      <c r="C5" s="6" t="inlineStr">
        <is>
          <t>会社分割＋株式譲渡</t>
        </is>
      </c>
      <c r="D5" s="15" t="n">
        <v>97</v>
      </c>
      <c r="E5" s="15" t="n">
        <v>18</v>
      </c>
      <c r="F5" s="15" t="n">
        <v>29</v>
      </c>
      <c r="G5" s="15" t="n">
        <v>44.85</v>
      </c>
      <c r="H5" s="12">
        <f>SUMIFS(前提!$T$12:$T$51,前提!$A$12:$A$51,A5,前提!$C$12:$C$51,"共通")+SUMIFS(前提!$T$12:$T$51,前提!$A$12:$A$51,A5,前提!$C$12:$C$51,"現行")</f>
        <v>32.0</v>
      </c>
      <c r="I5" s="12">
        <f>SUMIFS(前提!$T$12:$T$51,前提!$A$12:$A$51,A5,前提!$C$12:$C$51,"共通")+SUMIFS(前提!$T$12:$T$51,前提!$A$12:$A$51,A5,前提!$C$12:$C$51,"最小化")</f>
        <v>32.0</v>
      </c>
      <c r="J5" s="6" t="inlineStr">
        <is>
          <t>2026/11/6</t>
        </is>
      </c>
      <c r="K5" s="6" t="inlineStr">
        <is>
          <t>バトンズ 5.5（契約書要確認）</t>
        </is>
      </c>
      <c r="L5" s="19" t="inlineStr">
        <is>
          <t>公庫借入44.85を残置し株式対価を70→25に圧縮済み。分割後現金17.8は薄く追加圧縮余地は小</t>
        </is>
      </c>
      <c r="M5" s="20" t="n">
        <v>3</v>
      </c>
      <c r="N5" s="15" t="n">
        <v>16</v>
      </c>
      <c r="O5" s="15" t="n">
        <v>18</v>
      </c>
      <c r="P5" s="15" t="n">
        <v>0</v>
      </c>
      <c r="Q5" s="20" t="n">
        <v>99</v>
      </c>
    </row>
    <row r="6" ht="60" customHeight="1">
      <c r="A6" s="4" t="inlineStr">
        <is>
          <t>ヒューマンアイ</t>
        </is>
      </c>
      <c r="B6" s="6" t="inlineStr">
        <is>
          <t>DD（基本合意期限9/30）</t>
        </is>
      </c>
      <c r="C6" s="6" t="inlineStr">
        <is>
          <t>事業譲渡（デイ5拠点）</t>
        </is>
      </c>
      <c r="D6" s="15" t="n">
        <v>182</v>
      </c>
      <c r="E6" s="15" t="n">
        <v>6</v>
      </c>
      <c r="F6" s="15" t="n">
        <v>15</v>
      </c>
      <c r="G6" s="15" t="n">
        <v>0</v>
      </c>
      <c r="H6" s="12">
        <f>SUMIFS(前提!$T$12:$T$51,前提!$A$12:$A$51,A6,前提!$C$12:$C$51,"共通")+SUMIFS(前提!$T$12:$T$51,前提!$A$12:$A$51,A6,前提!$C$12:$C$51,"現行")</f>
        <v>36.5</v>
      </c>
      <c r="I6" s="12">
        <f>SUMIFS(前提!$T$12:$T$51,前提!$A$12:$A$51,A6,前提!$C$12:$C$51,"共通")+SUMIFS(前提!$T$12:$T$51,前提!$A$12:$A$51,A6,前提!$C$12:$C$51,"最小化")</f>
        <v>36.5</v>
      </c>
      <c r="J6" s="6" t="inlineStr">
        <is>
          <t>2026/12/1</t>
        </is>
      </c>
      <c r="K6" s="6" t="inlineStr">
        <is>
          <t>CBヘルスケア 11.0</t>
        </is>
      </c>
      <c r="L6" s="19" t="inlineStr">
        <is>
          <t>事業譲渡のため退職金スキーム不可。対価の半額繰延（2027/3）を売主グロップに交渉する余地</t>
        </is>
      </c>
      <c r="M6" s="20" t="n">
        <v>4</v>
      </c>
      <c r="N6" s="15" t="n">
        <v>30</v>
      </c>
      <c r="O6" s="15" t="n">
        <v>0</v>
      </c>
      <c r="P6" s="15" t="n">
        <v>0</v>
      </c>
      <c r="Q6" s="20" t="n">
        <v>99</v>
      </c>
    </row>
    <row r="7" ht="60" customHeight="1">
      <c r="A7" s="4" t="inlineStr">
        <is>
          <t>クレッシェンド</t>
        </is>
      </c>
      <c r="B7" s="6" t="inlineStr">
        <is>
          <t>LOI受領内諾（9/22）</t>
        </is>
      </c>
      <c r="C7" s="6" t="inlineStr">
        <is>
          <t>株式譲渡＋役員退職慰労金</t>
        </is>
      </c>
      <c r="D7" s="15" t="n">
        <v>149</v>
      </c>
      <c r="E7" s="15" t="n">
        <v>20</v>
      </c>
      <c r="F7" s="15" t="n">
        <v>20</v>
      </c>
      <c r="G7" s="15" t="n">
        <v>0</v>
      </c>
      <c r="H7" s="12">
        <f>SUMIFS(前提!$T$12:$T$51,前提!$A$12:$A$51,A7,前提!$C$12:$C$51,"共通")+SUMIFS(前提!$T$12:$T$51,前提!$A$12:$A$51,A7,前提!$C$12:$C$51,"現行")</f>
        <v>91.1</v>
      </c>
      <c r="I7" s="12">
        <f>SUMIFS(前提!$T$12:$T$51,前提!$A$12:$A$51,A7,前提!$C$12:$C$51,"共通")+SUMIFS(前提!$T$12:$T$51,前提!$A$12:$A$51,A7,前提!$C$12:$C$51,"最小化")</f>
        <v>35.1</v>
      </c>
      <c r="J7" s="6" t="inlineStr">
        <is>
          <t>2026/11中旬</t>
        </is>
      </c>
      <c r="K7" s="6" t="inlineStr">
        <is>
          <t>ストライク 1.1＋22.0</t>
        </is>
      </c>
      <c r="L7" s="19" t="inlineStr">
        <is>
          <t>株式10＋退職金73（退任時）＋奥様3＋役員借入返済。退職金は損金算入で税効果22。原資は対象会社現金46＋対象会社の銀行借入（HD保証）に置換すればHD貸付50は不要</t>
        </is>
      </c>
      <c r="M7" s="20" t="n">
        <v>3</v>
      </c>
      <c r="N7" s="15" t="n">
        <v>25</v>
      </c>
      <c r="O7" s="15" t="n">
        <v>10</v>
      </c>
      <c r="P7" s="15" t="n">
        <v>50</v>
      </c>
      <c r="Q7" s="20" t="n">
        <v>9</v>
      </c>
    </row>
    <row r="8" ht="60" customHeight="1">
      <c r="A8" s="4" t="inlineStr">
        <is>
          <t>ワイズケア</t>
        </is>
      </c>
      <c r="B8" s="6" t="inlineStr">
        <is>
          <t>LOI提出（9/11）・DD9月下旬〜</t>
        </is>
      </c>
      <c r="C8" s="6" t="inlineStr">
        <is>
          <t>2社株式譲渡（退職慰労金活用可）</t>
        </is>
      </c>
      <c r="D8" s="15" t="n">
        <v>485</v>
      </c>
      <c r="E8" s="15" t="n">
        <v>38</v>
      </c>
      <c r="F8" s="15" t="n">
        <v>66</v>
      </c>
      <c r="G8" s="15" t="n">
        <v>0</v>
      </c>
      <c r="H8" s="12">
        <f>SUMIFS(前提!$T$12:$T$51,前提!$A$12:$A$51,A8,前提!$C$12:$C$51,"共通")+SUMIFS(前提!$T$12:$T$51,前提!$A$12:$A$51,A8,前提!$C$12:$C$51,"現行")</f>
        <v>266.0</v>
      </c>
      <c r="I8" s="12">
        <f>SUMIFS(前提!$T$12:$T$51,前提!$A$12:$A$51,A8,前提!$C$12:$C$51,"共通")+SUMIFS(前提!$T$12:$T$51,前提!$A$12:$A$51,A8,前提!$C$12:$C$51,"最小化")</f>
        <v>136.0</v>
      </c>
      <c r="J8" s="6" t="inlineStr">
        <is>
          <t>2026/11下旬</t>
        </is>
      </c>
      <c r="K8" s="6" t="inlineStr">
        <is>
          <t>M&amp;A総研 4.7＋42.3</t>
        </is>
      </c>
      <c r="L8" s="19" t="inlineStr">
        <is>
          <t>LOIは『退職慰労金活用時も合計215』。net cash50を退職慰労金に充て株式対価165へ。さらに対象会社（EBITDA38〜66）で買収ローン80を組めばHD手出しは136</t>
        </is>
      </c>
      <c r="M8" s="20" t="n">
        <v>3</v>
      </c>
      <c r="N8" s="15" t="n">
        <v>81</v>
      </c>
      <c r="O8" s="15" t="n">
        <v>10</v>
      </c>
      <c r="P8" s="15" t="n">
        <v>80</v>
      </c>
      <c r="Q8" s="20" t="n">
        <v>3</v>
      </c>
    </row>
    <row r="9" ht="60" customHeight="1">
      <c r="A9" s="4" t="inlineStr">
        <is>
          <t>エーステイスト</t>
        </is>
      </c>
      <c r="B9" s="6" t="inlineStr">
        <is>
          <t>LOI提出（9/15）・競合3社</t>
        </is>
      </c>
      <c r="C9" s="6" t="inlineStr">
        <is>
          <t>事業譲渡＋借入60.4引受</t>
        </is>
      </c>
      <c r="D9" s="15" t="n">
        <v>676</v>
      </c>
      <c r="E9" s="15" t="n">
        <v>18</v>
      </c>
      <c r="F9" s="15" t="n">
        <v>43</v>
      </c>
      <c r="G9" s="15" t="n">
        <v>60.4</v>
      </c>
      <c r="H9" s="12">
        <f>SUMIFS(前提!$T$12:$T$51,前提!$A$12:$A$51,A9,前提!$C$12:$C$51,"共通")+SUMIFS(前提!$T$12:$T$51,前提!$A$12:$A$51,A9,前提!$C$12:$C$51,"現行")</f>
        <v>74.5</v>
      </c>
      <c r="I9" s="12">
        <f>SUMIFS(前提!$T$12:$T$51,前提!$A$12:$A$51,A9,前提!$C$12:$C$51,"共通")+SUMIFS(前提!$T$12:$T$51,前提!$A$12:$A$51,A9,前提!$C$12:$C$51,"最小化")</f>
        <v>74.5</v>
      </c>
      <c r="J9" s="6" t="inlineStr">
        <is>
          <t>2026/12末</t>
        </is>
      </c>
      <c r="K9" s="6" t="inlineStr">
        <is>
          <t>MACP 2.75＋24.75</t>
        </is>
      </c>
      <c r="L9" s="19" t="inlineStr">
        <is>
          <t>事業譲渡のため退職金スキーム不可。借入60.4の免責的引受で対価を45に圧縮済み。手数料27.5が対価の6割</t>
        </is>
      </c>
      <c r="M9" s="20" t="n">
        <v>4</v>
      </c>
      <c r="N9" s="15" t="n">
        <v>85</v>
      </c>
      <c r="O9" s="15" t="n">
        <v>10</v>
      </c>
      <c r="P9" s="15" t="n">
        <v>0</v>
      </c>
      <c r="Q9" s="20" t="n">
        <v>99</v>
      </c>
    </row>
    <row r="10" ht="60" customHeight="1">
      <c r="A10" s="4" t="inlineStr">
        <is>
          <t>日本経営センター</t>
        </is>
      </c>
      <c r="B10" s="6" t="inlineStr">
        <is>
          <t>LOI作成中（9/17 方針：奥様・息子退任・対価80）</t>
        </is>
      </c>
      <c r="C10" s="6" t="inlineStr">
        <is>
          <t>株式100%譲渡＋退職金</t>
        </is>
      </c>
      <c r="D10" s="15" t="n">
        <v>378</v>
      </c>
      <c r="E10" s="15" t="n">
        <v>12</v>
      </c>
      <c r="F10" s="15" t="n">
        <v>32</v>
      </c>
      <c r="G10" s="15" t="n">
        <v>32.9</v>
      </c>
      <c r="H10" s="12">
        <f>SUMIFS(前提!$T$12:$T$51,前提!$A$12:$A$51,A10,前提!$C$12:$C$51,"共通")+SUMIFS(前提!$T$12:$T$51,前提!$A$12:$A$51,A10,前提!$C$12:$C$51,"現行")</f>
        <v>109.5</v>
      </c>
      <c r="I10" s="12">
        <f>SUMIFS(前提!$T$12:$T$51,前提!$A$12:$A$51,A10,前提!$C$12:$C$51,"共通")+SUMIFS(前提!$T$12:$T$51,前提!$A$12:$A$51,A10,前提!$C$12:$C$51,"最小化")</f>
        <v>92.5</v>
      </c>
      <c r="J10" s="6" t="inlineStr">
        <is>
          <t>2027/1</t>
        </is>
      </c>
      <c r="K10" s="6" t="inlineStr">
        <is>
          <t>MACP 2.75＋24.75</t>
        </is>
      </c>
      <c r="L10" s="19" t="inlineStr">
        <is>
          <t>退任後EBITDA32に対し対価80＋手数料25で3.1倍。役員借入21.6の返済と退職金を対象会社現金・進行期キャッシュで賄い株式対価を63へ（Slack 9/17『手出しは退職金など使って9,000万ほど』）</t>
        </is>
      </c>
      <c r="M10" s="20" t="n">
        <v>5</v>
      </c>
      <c r="N10" s="15" t="n">
        <v>63</v>
      </c>
      <c r="O10" s="15" t="n">
        <v>5</v>
      </c>
      <c r="P10" s="15" t="n">
        <v>0</v>
      </c>
      <c r="Q10" s="20" t="n">
        <v>99</v>
      </c>
    </row>
    <row r="11" ht="60" customHeight="1">
      <c r="A11" s="4" t="inlineStr">
        <is>
          <t>セレサ</t>
        </is>
      </c>
      <c r="B11" s="6" t="inlineStr">
        <is>
          <t>本格検討（9/18 対価試算）</t>
        </is>
      </c>
      <c r="C11" s="6" t="inlineStr">
        <is>
          <t>株式譲渡（譲渡前配当＋株式）</t>
        </is>
      </c>
      <c r="D11" s="15" t="n">
        <v>140</v>
      </c>
      <c r="E11" s="15" t="n">
        <v>8</v>
      </c>
      <c r="F11" s="15" t="n">
        <v>8</v>
      </c>
      <c r="G11" s="15" t="n">
        <v>0</v>
      </c>
      <c r="H11" s="12">
        <f>SUMIFS(前提!$T$12:$T$51,前提!$A$12:$A$51,A11,前提!$C$12:$C$51,"共通")+SUMIFS(前提!$T$12:$T$51,前提!$A$12:$A$51,A11,前提!$C$12:$C$51,"現行")</f>
        <v>62.2</v>
      </c>
      <c r="I11" s="12">
        <f>SUMIFS(前提!$T$12:$T$51,前提!$A$12:$A$51,A11,前提!$C$12:$C$51,"共通")+SUMIFS(前提!$T$12:$T$51,前提!$A$12:$A$51,A11,前提!$C$12:$C$51,"最小化")</f>
        <v>57.6</v>
      </c>
      <c r="J11" s="6" t="inlineStr">
        <is>
          <t>2027/3</t>
        </is>
      </c>
      <c r="K11" s="6" t="inlineStr">
        <is>
          <t>SMS 0.6＋11.5（配当除外なら6.9）</t>
        </is>
      </c>
      <c r="L11" s="19" t="inlineStr">
        <is>
          <t>対価130のうち81.4を譲渡前配当（対象会社現金）で充当済み。手数料の算定基礎から配当を外す再見積を交渉（見積有効期限9/4切れ）</t>
        </is>
      </c>
      <c r="M11" s="20" t="n">
        <v>7</v>
      </c>
      <c r="N11" s="15" t="n">
        <v>23</v>
      </c>
      <c r="O11" s="15" t="n">
        <v>20</v>
      </c>
      <c r="P11" s="15" t="n">
        <v>0</v>
      </c>
      <c r="Q11" s="20" t="n">
        <v>99</v>
      </c>
    </row>
    <row r="12" ht="60" customHeight="1">
      <c r="A12" s="4" t="inlineStr">
        <is>
          <t>シルバーメディカル</t>
        </is>
      </c>
      <c r="B12" s="6" t="inlineStr">
        <is>
          <t>DD（LOI 9/5・口頭合意9/12）</t>
        </is>
      </c>
      <c r="C12" s="6" t="inlineStr">
        <is>
          <t>株式譲渡＋役員退職慰労金</t>
        </is>
      </c>
      <c r="D12" s="15" t="n">
        <v>777</v>
      </c>
      <c r="E12" s="15" t="n">
        <v>-21</v>
      </c>
      <c r="F12" s="15" t="n">
        <v>16</v>
      </c>
      <c r="G12" s="15" t="n">
        <v>83</v>
      </c>
      <c r="H12" s="12">
        <f>SUMIFS(前提!$T$12:$T$51,前提!$A$12:$A$51,A12,前提!$C$12:$C$51,"共通")+SUMIFS(前提!$T$12:$T$51,前提!$A$12:$A$51,A12,前提!$C$12:$C$51,"現行")</f>
        <v>178.1</v>
      </c>
      <c r="I12" s="12">
        <f>SUMIFS(前提!$T$12:$T$51,前提!$A$12:$A$51,A12,前提!$C$12:$C$51,"共通")+SUMIFS(前提!$T$12:$T$51,前提!$A$12:$A$51,A12,前提!$C$12:$C$51,"最小化")</f>
        <v>120.1</v>
      </c>
      <c r="J12" s="6" t="inlineStr">
        <is>
          <t>2026/12（SPA11月末）</t>
        </is>
      </c>
      <c r="K12" s="6" t="inlineStr">
        <is>
          <t>ストライク 1.1＋22.0</t>
        </is>
      </c>
      <c r="L12" s="19" t="inlineStr">
        <is>
          <t>LOIは『2.5億＝株式対価＋役員退職慰労金』。現預金134のうち約100を退職慰労金に充て、吉澤氏向け貸付・未収金58の返済で相殺すればHD手出しは約92（DBC馬氏『手出し少なくいける』）。分社型吸収分割でのれん償却も選択肢だが許認可の巻き直しが必要</t>
        </is>
      </c>
      <c r="M12" s="20" t="n">
        <v>4</v>
      </c>
      <c r="N12" s="15" t="n">
        <v>130</v>
      </c>
      <c r="O12" s="15" t="n">
        <v>60</v>
      </c>
      <c r="P12" s="15" t="n">
        <v>0</v>
      </c>
      <c r="Q12" s="20" t="n">
        <v>99</v>
      </c>
    </row>
    <row r="14">
      <c r="A14" s="4" t="inlineStr">
        <is>
          <t>退職金スキームの共通ルール</t>
        </is>
      </c>
    </row>
    <row r="15">
      <c r="A15" s="6" t="inlineStr">
        <is>
          <t>1. 役員退職慰労金は対象会社の損金（功績倍率法：最終報酬月額×在任年数×功績倍率≈3.0が目安。超過分は否認リスク）。売主は退職所得課税（1/2課税・勤続控除）で株式譲渡（20.315%）より手取りが増えるケースが多い</t>
        </is>
      </c>
    </row>
    <row r="16">
      <c r="A16" s="6" t="inlineStr">
        <is>
          <t>2. 原資は対象会社の現預金・進行期キャッシュ。不足分は対象会社の銀行借入（HD保証）で賄えばHDの手出しは増えない。HDからの貸付は運転資金貸付を行わない方針に照らし最小化</t>
        </is>
      </c>
    </row>
    <row r="17">
      <c r="A17" s="6" t="inlineStr">
        <is>
          <t>3. 退職金支給には退任が必要。引継ぎ期間中は代表取締役に留任し指揮命令権を外す設計（ストライク小玉氏へ説明済み）。損金算入限度は退任時の役職で変わる</t>
        </is>
      </c>
    </row>
    <row r="18">
      <c r="A18" s="6" t="inlineStr">
        <is>
          <t>4. 退職慰労金を対価に含める場合、M&amp;A総研・SMS等の移動総資産型レーマンでは手数料の算定基礎に加算されるため、手数料は下がらない（ワイズケア・セレサ）</t>
        </is>
      </c>
    </row>
    <row r="19">
      <c r="A19" s="6" t="inlineStr">
        <is>
          <t>5. 事業譲渡（ヒューマンアイ・エーステイスト）は退職金スキームが使えない代わりに、のれん償却（5年）による買主側の節税と負債非承継の利点がある</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60"/>
  <sheetViews>
    <sheetView workbookViewId="0">
      <pane ySplit="4" topLeftCell="A5" activePane="bottomLeft" state="frozen"/>
      <selection pane="bottomLeft" activeCell="A1" sqref="A1"/>
    </sheetView>
  </sheetViews>
  <sheetFormatPr baseColWidth="8" defaultRowHeight="15"/>
  <cols>
    <col width="18" customWidth="1" min="1" max="1"/>
    <col width="60" customWidth="1" min="2" max="2"/>
    <col width="14" customWidth="1" min="3" max="3"/>
    <col width="12" customWidth="1" min="4" max="4"/>
    <col width="14" customWidth="1" min="5" max="5"/>
    <col width="52" customWidth="1" min="6" max="6"/>
  </cols>
  <sheetData>
    <row r="1">
      <c r="A1" s="14" t="inlineStr">
        <is>
          <t>手出しの内訳 — EEFUL HDの現金が必要なもの（HD現金）と、対象会社資金・借入・売主側で賄うもの（百万円・税込）</t>
        </is>
      </c>
    </row>
    <row r="2">
      <c r="A2" s="2" t="inlineStr">
        <is>
          <t>青字＝入力値。『HD現金』の行がEEFUL HDの手出し。『対象会社借入』のうち株式対価に充当する行はHD手出しの控除。前提シートの支出明細と整合（下の検算欄で確認）</t>
        </is>
      </c>
    </row>
    <row r="4">
      <c r="A4" s="3" t="inlineStr">
        <is>
          <t>案件</t>
        </is>
      </c>
      <c r="B4" s="3" t="inlineStr">
        <is>
          <t>項目</t>
        </is>
      </c>
      <c r="C4" s="3" t="inlineStr">
        <is>
          <t>支払主体</t>
        </is>
      </c>
      <c r="D4" s="3" t="inlineStr">
        <is>
          <t>現行</t>
        </is>
      </c>
      <c r="E4" s="3" t="inlineStr">
        <is>
          <t>手出し最小化</t>
        </is>
      </c>
      <c r="F4" s="3" t="inlineStr">
        <is>
          <t>時期・備考</t>
        </is>
      </c>
    </row>
    <row r="5">
      <c r="A5" s="6" t="inlineStr">
        <is>
          <t>HT100%化</t>
        </is>
      </c>
      <c r="B5" s="6" t="inlineStr">
        <is>
          <t>残株51%の株式対価</t>
        </is>
      </c>
      <c r="C5" s="11" t="inlineStr">
        <is>
          <t>HD現金</t>
        </is>
      </c>
      <c r="D5" s="15" t="n">
        <v>30</v>
      </c>
      <c r="E5" s="15" t="n">
        <v>30</v>
      </c>
      <c r="F5" s="6" t="inlineStr">
        <is>
          <t>2026/9（支払済）</t>
        </is>
      </c>
    </row>
    <row r="6">
      <c r="A6" s="6" t="inlineStr">
        <is>
          <t>メディプロ</t>
        </is>
      </c>
      <c r="B6" s="6" t="inlineStr">
        <is>
          <t>株式対価（70−公庫借入残置44.85）</t>
        </is>
      </c>
      <c r="C6" s="11" t="inlineStr">
        <is>
          <t>HD現金</t>
        </is>
      </c>
      <c r="D6" s="15" t="n">
        <v>25</v>
      </c>
      <c r="E6" s="15" t="n">
        <v>25</v>
      </c>
      <c r="F6" s="6" t="inlineStr">
        <is>
          <t>2026/11</t>
        </is>
      </c>
    </row>
    <row r="7">
      <c r="A7" s="6" t="inlineStr">
        <is>
          <t>メディプロ</t>
        </is>
      </c>
      <c r="B7" s="6" t="inlineStr">
        <is>
          <t>日本政策金融公庫借入の残置</t>
        </is>
      </c>
      <c r="C7" s="11" t="inlineStr">
        <is>
          <t>負債承継・残置</t>
        </is>
      </c>
      <c r="D7" s="15" t="n">
        <v>44.85</v>
      </c>
      <c r="E7" s="15" t="n">
        <v>44.85</v>
      </c>
      <c r="F7" s="6" t="inlineStr">
        <is>
          <t>対象会社に残る</t>
        </is>
      </c>
    </row>
    <row r="8">
      <c r="A8" s="6" t="inlineStr">
        <is>
          <t>メディプロ</t>
        </is>
      </c>
      <c r="B8" s="6" t="inlineStr">
        <is>
          <t>役員借入金の返済（クロージング後）</t>
        </is>
      </c>
      <c r="C8" s="11" t="inlineStr">
        <is>
          <t>対象会社資金</t>
        </is>
      </c>
      <c r="D8" s="15" t="n"/>
      <c r="E8" s="15" t="n"/>
      <c r="F8" s="6" t="inlineStr">
        <is>
          <t>金額精査中</t>
        </is>
      </c>
    </row>
    <row r="9">
      <c r="A9" s="6" t="inlineStr">
        <is>
          <t>メディプロ</t>
        </is>
      </c>
      <c r="B9" s="6" t="inlineStr">
        <is>
          <t>仲介手数料（バトンズ）</t>
        </is>
      </c>
      <c r="C9" s="11" t="inlineStr">
        <is>
          <t>HD現金</t>
        </is>
      </c>
      <c r="D9" s="15" t="n">
        <v>5.5</v>
      </c>
      <c r="E9" s="15" t="n">
        <v>5.5</v>
      </c>
      <c r="F9" s="6" t="inlineStr">
        <is>
          <t>2026/11</t>
        </is>
      </c>
    </row>
    <row r="10">
      <c r="A10" s="6" t="inlineStr">
        <is>
          <t>メディプロ</t>
        </is>
      </c>
      <c r="B10" s="6" t="inlineStr">
        <is>
          <t>DD費用（財務・法務）</t>
        </is>
      </c>
      <c r="C10" s="11" t="inlineStr">
        <is>
          <t>HD現金</t>
        </is>
      </c>
      <c r="D10" s="15" t="n">
        <v>1.5</v>
      </c>
      <c r="E10" s="15" t="n">
        <v>1.5</v>
      </c>
      <c r="F10" s="6" t="inlineStr">
        <is>
          <t>2026/10</t>
        </is>
      </c>
    </row>
    <row r="11">
      <c r="A11" s="6" t="inlineStr">
        <is>
          <t>ヒューマンアイ</t>
        </is>
      </c>
      <c r="B11" s="6" t="inlineStr">
        <is>
          <t>事業譲渡対価（22税別）</t>
        </is>
      </c>
      <c r="C11" s="11" t="inlineStr">
        <is>
          <t>HD現金</t>
        </is>
      </c>
      <c r="D11" s="15" t="n">
        <v>24</v>
      </c>
      <c r="E11" s="15" t="n">
        <v>24</v>
      </c>
      <c r="F11" s="6" t="inlineStr">
        <is>
          <t>現行：2026/12一括／最小化：12を2026/12・12を2027/3（要交渉）</t>
        </is>
      </c>
    </row>
    <row r="12">
      <c r="A12" s="6" t="inlineStr">
        <is>
          <t>ヒューマンアイ</t>
        </is>
      </c>
      <c r="B12" s="6" t="inlineStr">
        <is>
          <t>仲介手数料（CBヘルスケア・最低報酬）</t>
        </is>
      </c>
      <c r="C12" s="11" t="inlineStr">
        <is>
          <t>HD現金</t>
        </is>
      </c>
      <c r="D12" s="15" t="n">
        <v>11</v>
      </c>
      <c r="E12" s="15" t="n">
        <v>11</v>
      </c>
      <c r="F12" s="6" t="inlineStr">
        <is>
          <t>2026/10（最終契約時）</t>
        </is>
      </c>
    </row>
    <row r="13">
      <c r="A13" s="6" t="inlineStr">
        <is>
          <t>ヒューマンアイ</t>
        </is>
      </c>
      <c r="B13" s="6" t="inlineStr">
        <is>
          <t>DD費用</t>
        </is>
      </c>
      <c r="C13" s="11" t="inlineStr">
        <is>
          <t>HD現金</t>
        </is>
      </c>
      <c r="D13" s="15" t="n">
        <v>1.5</v>
      </c>
      <c r="E13" s="15" t="n">
        <v>1.5</v>
      </c>
      <c r="F13" s="6" t="inlineStr">
        <is>
          <t>2026/10</t>
        </is>
      </c>
    </row>
    <row r="14">
      <c r="A14" s="6" t="inlineStr">
        <is>
          <t>クレッシェンド</t>
        </is>
      </c>
      <c r="B14" s="6" t="inlineStr">
        <is>
          <t>株式対価</t>
        </is>
      </c>
      <c r="C14" s="11" t="inlineStr">
        <is>
          <t>HD現金</t>
        </is>
      </c>
      <c r="D14" s="15" t="n">
        <v>10</v>
      </c>
      <c r="E14" s="15" t="n">
        <v>10</v>
      </c>
      <c r="F14" s="6" t="inlineStr">
        <is>
          <t>2026/11</t>
        </is>
      </c>
    </row>
    <row r="15">
      <c r="A15" s="6" t="inlineStr">
        <is>
          <t>クレッシェンド</t>
        </is>
      </c>
      <c r="B15" s="6" t="inlineStr">
        <is>
          <t>役員退職金（小津野了氏・退任時）のうち対象会社現金分</t>
        </is>
      </c>
      <c r="C15" s="11" t="inlineStr">
        <is>
          <t>対象会社資金</t>
        </is>
      </c>
      <c r="D15" s="15" t="n">
        <v>23</v>
      </c>
      <c r="E15" s="15" t="n">
        <v>23</v>
      </c>
      <c r="F15" s="6" t="inlineStr">
        <is>
          <t>2027/5（引継ぎ6ヶ月後）</t>
        </is>
      </c>
    </row>
    <row r="16">
      <c r="A16" s="6" t="inlineStr">
        <is>
          <t>クレッシェンド</t>
        </is>
      </c>
      <c r="B16" s="6" t="inlineStr">
        <is>
          <t>役員退職金の残り原資</t>
        </is>
      </c>
      <c r="C16" s="11" t="inlineStr">
        <is>
          <t>HD現金</t>
        </is>
      </c>
      <c r="D16" s="15" t="n">
        <v>50</v>
      </c>
      <c r="E16" s="15" t="n">
        <v>0</v>
      </c>
      <c r="F16" s="6" t="inlineStr">
        <is>
          <t>現行：EEFUL貸付 2027/5</t>
        </is>
      </c>
    </row>
    <row r="17">
      <c r="A17" s="6" t="inlineStr">
        <is>
          <t>クレッシェンド</t>
        </is>
      </c>
      <c r="B17" s="6" t="inlineStr">
        <is>
          <t>役員退職金の残り原資（対象会社の銀行借入・HD保証）</t>
        </is>
      </c>
      <c r="C17" s="11" t="inlineStr">
        <is>
          <t>対象会社借入</t>
        </is>
      </c>
      <c r="D17" s="15" t="n">
        <v>0</v>
      </c>
      <c r="E17" s="15" t="n">
        <v>50</v>
      </c>
      <c r="F17" s="6" t="inlineStr">
        <is>
          <t>最小化：2027/5</t>
        </is>
      </c>
    </row>
    <row r="18">
      <c r="A18" s="6" t="inlineStr">
        <is>
          <t>クレッシェンド</t>
        </is>
      </c>
      <c r="B18" s="6" t="inlineStr">
        <is>
          <t>奥様退職金3・役員借入返済・リース車両清算</t>
        </is>
      </c>
      <c r="C18" s="11" t="inlineStr">
        <is>
          <t>対象会社資金</t>
        </is>
      </c>
      <c r="D18" s="15" t="n"/>
      <c r="E18" s="15" t="n"/>
      <c r="F18" s="6" t="inlineStr">
        <is>
          <t>2026/11 クロージング時（進行期キャッシュ含む）</t>
        </is>
      </c>
    </row>
    <row r="19">
      <c r="A19" s="6" t="inlineStr">
        <is>
          <t>クレッシェンド</t>
        </is>
      </c>
      <c r="B19" s="6" t="inlineStr">
        <is>
          <t>引継ぎ報酬 1×6ヶ月</t>
        </is>
      </c>
      <c r="C19" s="11" t="inlineStr">
        <is>
          <t>HD現金</t>
        </is>
      </c>
      <c r="D19" s="15" t="n">
        <v>6</v>
      </c>
      <c r="E19" s="15" t="n">
        <v>0</v>
      </c>
      <c r="F19" s="6" t="inlineStr">
        <is>
          <t>現行：HD負担 2026/12〜2027/5</t>
        </is>
      </c>
    </row>
    <row r="20">
      <c r="A20" s="6" t="inlineStr">
        <is>
          <t>クレッシェンド</t>
        </is>
      </c>
      <c r="B20" s="6" t="inlineStr">
        <is>
          <t>引継ぎ報酬 1×6ヶ月（対象会社の役員報酬として）</t>
        </is>
      </c>
      <c r="C20" s="11" t="inlineStr">
        <is>
          <t>対象会社資金</t>
        </is>
      </c>
      <c r="D20" s="15" t="n">
        <v>0</v>
      </c>
      <c r="E20" s="15" t="n">
        <v>6</v>
      </c>
      <c r="F20" s="6" t="inlineStr">
        <is>
          <t>最小化</t>
        </is>
      </c>
    </row>
    <row r="21">
      <c r="A21" s="6" t="inlineStr">
        <is>
          <t>クレッシェンド</t>
        </is>
      </c>
      <c r="B21" s="6" t="inlineStr">
        <is>
          <t>仲介手数料（ストライク）</t>
        </is>
      </c>
      <c r="C21" s="11" t="inlineStr">
        <is>
          <t>HD現金</t>
        </is>
      </c>
      <c r="D21" s="15" t="n">
        <v>23.1</v>
      </c>
      <c r="E21" s="15" t="n">
        <v>23.1</v>
      </c>
      <c r="F21" s="6" t="inlineStr">
        <is>
          <t>1.1：2026/10 ／ 22.0：2026/11</t>
        </is>
      </c>
    </row>
    <row r="22">
      <c r="A22" s="6" t="inlineStr">
        <is>
          <t>クレッシェンド</t>
        </is>
      </c>
      <c r="B22" s="6" t="inlineStr">
        <is>
          <t>DD費用</t>
        </is>
      </c>
      <c r="C22" s="11" t="inlineStr">
        <is>
          <t>HD現金</t>
        </is>
      </c>
      <c r="D22" s="15" t="n">
        <v>2</v>
      </c>
      <c r="E22" s="15" t="n">
        <v>2</v>
      </c>
      <c r="F22" s="6" t="inlineStr">
        <is>
          <t>2026/10</t>
        </is>
      </c>
    </row>
    <row r="23">
      <c r="A23" s="6" t="inlineStr">
        <is>
          <t>ワイズケア</t>
        </is>
      </c>
      <c r="B23" s="6" t="inlineStr">
        <is>
          <t>株式対価</t>
        </is>
      </c>
      <c r="C23" s="11" t="inlineStr">
        <is>
          <t>HD現金</t>
        </is>
      </c>
      <c r="D23" s="15" t="n">
        <v>215</v>
      </c>
      <c r="E23" s="15" t="n">
        <v>165</v>
      </c>
      <c r="F23" s="6" t="inlineStr">
        <is>
          <t>2026/11下旬</t>
        </is>
      </c>
    </row>
    <row r="24">
      <c r="A24" s="6" t="inlineStr">
        <is>
          <t>ワイズケア</t>
        </is>
      </c>
      <c r="B24" s="6" t="inlineStr">
        <is>
          <t>役員退職慰労金（対価215の内数）</t>
        </is>
      </c>
      <c r="C24" s="11" t="inlineStr">
        <is>
          <t>対象会社資金</t>
        </is>
      </c>
      <c r="D24" s="15" t="n">
        <v>0</v>
      </c>
      <c r="E24" s="15" t="n">
        <v>50</v>
      </c>
      <c r="F24" s="6" t="inlineStr">
        <is>
          <t>最小化：対象会社現金（net cash50）</t>
        </is>
      </c>
    </row>
    <row r="25">
      <c r="A25" s="6" t="inlineStr">
        <is>
          <t>ワイズケア</t>
        </is>
      </c>
      <c r="B25" s="6" t="inlineStr">
        <is>
          <t>買収ローン（対象会社・HD保証）による株式対価の充当</t>
        </is>
      </c>
      <c r="C25" s="11" t="inlineStr">
        <is>
          <t>対象会社借入</t>
        </is>
      </c>
      <c r="D25" s="15" t="n">
        <v>0</v>
      </c>
      <c r="E25" s="15" t="n">
        <v>80</v>
      </c>
      <c r="F25" s="6" t="inlineStr">
        <is>
          <t>最小化：2026/11（HD手出しを▲80）</t>
        </is>
      </c>
    </row>
    <row r="26">
      <c r="A26" s="6" t="inlineStr">
        <is>
          <t>ワイズケア</t>
        </is>
      </c>
      <c r="B26" s="6" t="inlineStr">
        <is>
          <t>仲介手数料（M&amp;A総研）</t>
        </is>
      </c>
      <c r="C26" s="11" t="inlineStr">
        <is>
          <t>HD現金</t>
        </is>
      </c>
      <c r="D26" s="15" t="n">
        <v>47</v>
      </c>
      <c r="E26" s="15" t="n">
        <v>47</v>
      </c>
      <c r="F26" s="6" t="inlineStr">
        <is>
          <t>4.7：2026/10 ／ 42.3：2026/11</t>
        </is>
      </c>
    </row>
    <row r="27">
      <c r="A27" s="6" t="inlineStr">
        <is>
          <t>ワイズケア</t>
        </is>
      </c>
      <c r="B27" s="6" t="inlineStr">
        <is>
          <t>DD費用（2社）</t>
        </is>
      </c>
      <c r="C27" s="11" t="inlineStr">
        <is>
          <t>HD現金</t>
        </is>
      </c>
      <c r="D27" s="15" t="n">
        <v>4</v>
      </c>
      <c r="E27" s="15" t="n">
        <v>4</v>
      </c>
      <c r="F27" s="6" t="inlineStr">
        <is>
          <t>2026/10</t>
        </is>
      </c>
    </row>
    <row r="28">
      <c r="A28" s="6" t="inlineStr">
        <is>
          <t>エーステイスト</t>
        </is>
      </c>
      <c r="B28" s="6" t="inlineStr">
        <is>
          <t>事業譲渡対価（税込）</t>
        </is>
      </c>
      <c r="C28" s="11" t="inlineStr">
        <is>
          <t>HD現金</t>
        </is>
      </c>
      <c r="D28" s="15" t="n">
        <v>45</v>
      </c>
      <c r="E28" s="15" t="n">
        <v>45</v>
      </c>
      <c r="F28" s="6" t="inlineStr">
        <is>
          <t>2026/12末</t>
        </is>
      </c>
    </row>
    <row r="29">
      <c r="A29" s="6" t="inlineStr">
        <is>
          <t>エーステイスト</t>
        </is>
      </c>
      <c r="B29" s="6" t="inlineStr">
        <is>
          <t>金融機関借入の免責的債務引受</t>
        </is>
      </c>
      <c r="C29" s="11" t="inlineStr">
        <is>
          <t>負債承継・残置</t>
        </is>
      </c>
      <c r="D29" s="15" t="n">
        <v>60.4</v>
      </c>
      <c r="E29" s="15" t="n">
        <v>60.4</v>
      </c>
      <c r="F29" s="6" t="inlineStr">
        <is>
          <t>承継法人が引受（現金不要）</t>
        </is>
      </c>
    </row>
    <row r="30">
      <c r="A30" s="6" t="inlineStr">
        <is>
          <t>エーステイスト</t>
        </is>
      </c>
      <c r="B30" s="6" t="inlineStr">
        <is>
          <t>役員借入金127.6の放棄（売主）</t>
        </is>
      </c>
      <c r="C30" s="11" t="inlineStr">
        <is>
          <t>売主側</t>
        </is>
      </c>
      <c r="D30" s="15" t="n">
        <v>67.59999999999999</v>
      </c>
      <c r="E30" s="15" t="n">
        <v>67.59999999999999</v>
      </c>
      <c r="F30" s="6" t="inlineStr">
        <is>
          <t>LOIシナリオ表9/8：返済60・放棄67.6</t>
        </is>
      </c>
    </row>
    <row r="31">
      <c r="A31" s="6" t="inlineStr">
        <is>
          <t>エーステイスト</t>
        </is>
      </c>
      <c r="B31" s="6" t="inlineStr">
        <is>
          <t>仲介手数料（MACP・最低報酬）</t>
        </is>
      </c>
      <c r="C31" s="11" t="inlineStr">
        <is>
          <t>HD現金</t>
        </is>
      </c>
      <c r="D31" s="15" t="n">
        <v>27.5</v>
      </c>
      <c r="E31" s="15" t="n">
        <v>27.5</v>
      </c>
      <c r="F31" s="6" t="inlineStr">
        <is>
          <t>2.75：2026/10 ／ 24.75：2026/12</t>
        </is>
      </c>
    </row>
    <row r="32">
      <c r="A32" s="6" t="inlineStr">
        <is>
          <t>エーステイスト</t>
        </is>
      </c>
      <c r="B32" s="6" t="inlineStr">
        <is>
          <t>DD費用</t>
        </is>
      </c>
      <c r="C32" s="11" t="inlineStr">
        <is>
          <t>HD現金</t>
        </is>
      </c>
      <c r="D32" s="15" t="n">
        <v>2</v>
      </c>
      <c r="E32" s="15" t="n">
        <v>2</v>
      </c>
      <c r="F32" s="6" t="inlineStr">
        <is>
          <t>2026/11</t>
        </is>
      </c>
    </row>
    <row r="33">
      <c r="A33" s="6" t="inlineStr">
        <is>
          <t>日本経営センター</t>
        </is>
      </c>
      <c r="B33" s="6" t="inlineStr">
        <is>
          <t>株式対価（時価純資産＋役員借入返済分）</t>
        </is>
      </c>
      <c r="C33" s="11" t="inlineStr">
        <is>
          <t>HD現金</t>
        </is>
      </c>
      <c r="D33" s="15" t="n">
        <v>80</v>
      </c>
      <c r="E33" s="15" t="n">
        <v>63</v>
      </c>
      <c r="F33" s="6" t="inlineStr">
        <is>
          <t>2027/1</t>
        </is>
      </c>
    </row>
    <row r="34">
      <c r="A34" s="6" t="inlineStr">
        <is>
          <t>日本経営センター</t>
        </is>
      </c>
      <c r="B34" s="6" t="inlineStr">
        <is>
          <t>役員借入21.6のうち対象会社現金で返済</t>
        </is>
      </c>
      <c r="C34" s="11" t="inlineStr">
        <is>
          <t>対象会社資金</t>
        </is>
      </c>
      <c r="D34" s="15" t="n">
        <v>0</v>
      </c>
      <c r="E34" s="15" t="n">
        <v>17</v>
      </c>
      <c r="F34" s="6" t="inlineStr">
        <is>
          <t>最小化：2027/1</t>
        </is>
      </c>
    </row>
    <row r="35">
      <c r="A35" s="6" t="inlineStr">
        <is>
          <t>日本経営センター</t>
        </is>
      </c>
      <c r="B35" s="6" t="inlineStr">
        <is>
          <t>役員退職金（奥様・息子退任・対価の内数）</t>
        </is>
      </c>
      <c r="C35" s="11" t="inlineStr">
        <is>
          <t>対象会社資金</t>
        </is>
      </c>
      <c r="D35" s="15" t="n"/>
      <c r="E35" s="15" t="n"/>
      <c r="F35" s="6" t="inlineStr">
        <is>
          <t>損金限度を要確認</t>
        </is>
      </c>
    </row>
    <row r="36">
      <c r="A36" s="6" t="inlineStr">
        <is>
          <t>日本経営センター</t>
        </is>
      </c>
      <c r="B36" s="6" t="inlineStr">
        <is>
          <t>仲介手数料（MACP・最低報酬）</t>
        </is>
      </c>
      <c r="C36" s="11" t="inlineStr">
        <is>
          <t>HD現金</t>
        </is>
      </c>
      <c r="D36" s="15" t="n">
        <v>27.5</v>
      </c>
      <c r="E36" s="15" t="n">
        <v>27.5</v>
      </c>
      <c r="F36" s="6" t="inlineStr">
        <is>
          <t>2.75：2026/12 ／ 24.75：2027/1</t>
        </is>
      </c>
    </row>
    <row r="37">
      <c r="A37" s="6" t="inlineStr">
        <is>
          <t>日本経営センター</t>
        </is>
      </c>
      <c r="B37" s="6" t="inlineStr">
        <is>
          <t>DD費用</t>
        </is>
      </c>
      <c r="C37" s="11" t="inlineStr">
        <is>
          <t>HD現金</t>
        </is>
      </c>
      <c r="D37" s="15" t="n">
        <v>2</v>
      </c>
      <c r="E37" s="15" t="n">
        <v>2</v>
      </c>
      <c r="F37" s="6" t="inlineStr">
        <is>
          <t>2026/12</t>
        </is>
      </c>
    </row>
    <row r="38">
      <c r="A38" s="6" t="inlineStr">
        <is>
          <t>セレサ</t>
        </is>
      </c>
      <c r="B38" s="6" t="inlineStr">
        <is>
          <t>株式対価（130−配当81.4）</t>
        </is>
      </c>
      <c r="C38" s="11" t="inlineStr">
        <is>
          <t>HD現金</t>
        </is>
      </c>
      <c r="D38" s="15" t="n">
        <v>48.6</v>
      </c>
      <c r="E38" s="15" t="n">
        <v>48.6</v>
      </c>
      <c r="F38" s="6" t="inlineStr">
        <is>
          <t>2027/3</t>
        </is>
      </c>
    </row>
    <row r="39">
      <c r="A39" s="6" t="inlineStr">
        <is>
          <t>セレサ</t>
        </is>
      </c>
      <c r="B39" s="6" t="inlineStr">
        <is>
          <t>譲渡前配当</t>
        </is>
      </c>
      <c r="C39" s="11" t="inlineStr">
        <is>
          <t>対象会社資金</t>
        </is>
      </c>
      <c r="D39" s="15" t="n">
        <v>81.40000000000001</v>
      </c>
      <c r="E39" s="15" t="n">
        <v>81.40000000000001</v>
      </c>
      <c r="F39" s="6" t="inlineStr">
        <is>
          <t>2027/3 クロージング前</t>
        </is>
      </c>
    </row>
    <row r="40">
      <c r="A40" s="6" t="inlineStr">
        <is>
          <t>セレサ</t>
        </is>
      </c>
      <c r="B40" s="6" t="inlineStr">
        <is>
          <t>仲介手数料（SMS）</t>
        </is>
      </c>
      <c r="C40" s="11" t="inlineStr">
        <is>
          <t>HD現金</t>
        </is>
      </c>
      <c r="D40" s="15" t="n">
        <v>12.1</v>
      </c>
      <c r="E40" s="15" t="n">
        <v>7.5</v>
      </c>
      <c r="F40" s="6" t="inlineStr">
        <is>
          <t>0.6：2027/1 ／ 残：2027/3（最小化は配当除外で再見積）</t>
        </is>
      </c>
    </row>
    <row r="41">
      <c r="A41" s="6" t="inlineStr">
        <is>
          <t>セレサ</t>
        </is>
      </c>
      <c r="B41" s="6" t="inlineStr">
        <is>
          <t>DD費用</t>
        </is>
      </c>
      <c r="C41" s="11" t="inlineStr">
        <is>
          <t>HD現金</t>
        </is>
      </c>
      <c r="D41" s="15" t="n">
        <v>1.5</v>
      </c>
      <c r="E41" s="15" t="n">
        <v>1.5</v>
      </c>
      <c r="F41" s="6" t="inlineStr">
        <is>
          <t>2027/2</t>
        </is>
      </c>
    </row>
    <row r="42">
      <c r="A42" s="6" t="inlineStr">
        <is>
          <t>シルバーメディカル</t>
        </is>
      </c>
      <c r="B42" s="6" t="inlineStr">
        <is>
          <t>株式対価（250−退職慰労金−貸付回収）</t>
        </is>
      </c>
      <c r="C42" s="11" t="inlineStr">
        <is>
          <t>HD現金</t>
        </is>
      </c>
      <c r="D42" s="15" t="n">
        <v>150</v>
      </c>
      <c r="E42" s="15" t="n">
        <v>92</v>
      </c>
      <c r="F42" s="6" t="inlineStr">
        <is>
          <t>2026/12</t>
        </is>
      </c>
    </row>
    <row r="43">
      <c r="A43" s="6" t="inlineStr">
        <is>
          <t>シルバーメディカル</t>
        </is>
      </c>
      <c r="B43" s="6" t="inlineStr">
        <is>
          <t>役員退職慰労金（対価250の内数）</t>
        </is>
      </c>
      <c r="C43" s="11" t="inlineStr">
        <is>
          <t>対象会社資金</t>
        </is>
      </c>
      <c r="D43" s="15" t="n">
        <v>100</v>
      </c>
      <c r="E43" s="15" t="n">
        <v>100</v>
      </c>
      <c r="F43" s="6" t="inlineStr">
        <is>
          <t>2026/12 対象会社現金134から</t>
        </is>
      </c>
    </row>
    <row r="44">
      <c r="A44" s="6" t="inlineStr">
        <is>
          <t>シルバーメディカル</t>
        </is>
      </c>
      <c r="B44" s="6" t="inlineStr">
        <is>
          <t>吉澤氏向け役員貸付・未収入金の返済（対価から控除）</t>
        </is>
      </c>
      <c r="C44" s="11" t="inlineStr">
        <is>
          <t>売主側</t>
        </is>
      </c>
      <c r="D44" s="15" t="n">
        <v>0</v>
      </c>
      <c r="E44" s="15" t="n">
        <v>58</v>
      </c>
      <c r="F44" s="6" t="inlineStr">
        <is>
          <t>最小化：譲渡実行時に返済</t>
        </is>
      </c>
    </row>
    <row r="45">
      <c r="A45" s="6" t="inlineStr">
        <is>
          <t>シルバーメディカル</t>
        </is>
      </c>
      <c r="B45" s="6" t="inlineStr">
        <is>
          <t>既存借入（りそな・みずほ）の承継</t>
        </is>
      </c>
      <c r="C45" s="11" t="inlineStr">
        <is>
          <t>負債承継・残置</t>
        </is>
      </c>
      <c r="D45" s="15" t="n">
        <v>83</v>
      </c>
      <c r="E45" s="15" t="n">
        <v>83</v>
      </c>
      <c r="F45" s="6" t="inlineStr">
        <is>
          <t>対象会社に残る</t>
        </is>
      </c>
    </row>
    <row r="46">
      <c r="A46" s="6" t="inlineStr">
        <is>
          <t>シルバーメディカル</t>
        </is>
      </c>
      <c r="B46" s="6" t="inlineStr">
        <is>
          <t>仲介手数料（ストライク）</t>
        </is>
      </c>
      <c r="C46" s="11" t="inlineStr">
        <is>
          <t>HD現金</t>
        </is>
      </c>
      <c r="D46" s="15" t="n">
        <v>23.1</v>
      </c>
      <c r="E46" s="15" t="n">
        <v>23.1</v>
      </c>
      <c r="F46" s="6" t="inlineStr">
        <is>
          <t>1.1：2026/10 ／ 22.0：2026/12</t>
        </is>
      </c>
    </row>
    <row r="47">
      <c r="A47" s="6" t="inlineStr">
        <is>
          <t>シルバーメディカル</t>
        </is>
      </c>
      <c r="B47" s="6" t="inlineStr">
        <is>
          <t>DD費用（9拠点）</t>
        </is>
      </c>
      <c r="C47" s="11" t="inlineStr">
        <is>
          <t>HD現金</t>
        </is>
      </c>
      <c r="D47" s="15" t="n">
        <v>5</v>
      </c>
      <c r="E47" s="15" t="n">
        <v>5</v>
      </c>
      <c r="F47" s="6" t="inlineStr">
        <is>
          <t>2026/11</t>
        </is>
      </c>
    </row>
    <row r="49">
      <c r="A49" s="4" t="inlineStr">
        <is>
          <t>案件別 HD手出し合計（HD現金 − 株式対価に充当する対象会社借入）</t>
        </is>
      </c>
    </row>
    <row r="50">
      <c r="A50" s="3" t="inlineStr">
        <is>
          <t>案件</t>
        </is>
      </c>
      <c r="B50" s="3" t="inlineStr"/>
      <c r="C50" s="3" t="inlineStr"/>
      <c r="D50" s="3" t="inlineStr">
        <is>
          <t>現行</t>
        </is>
      </c>
      <c r="E50" s="3" t="inlineStr">
        <is>
          <t>手出し最小化</t>
        </is>
      </c>
      <c r="F50" s="3" t="inlineStr">
        <is>
          <t>検算：案件一覧との差（0なら一致）</t>
        </is>
      </c>
    </row>
    <row r="51">
      <c r="A51" s="4" t="inlineStr">
        <is>
          <t>HT100%化</t>
        </is>
      </c>
      <c r="D51" s="21">
        <f>SUMIFS($D$5:$D$47,$A$5:$A$47,$A51,$C$5:$C$47,"HD現金")</f>
        <v>30</v>
      </c>
      <c r="E51" s="21">
        <f>SUMIFS($E$5:$E$47,$A$5:$A$47,$A51,$C$5:$C$47,"HD現金")-SUMIFS($E$5:$E$47,$A$5:$A$47,$A51,$C$5:$C$47,"対象会社借入",$B$5:$B$47,"*充当*")</f>
        <v>30</v>
      </c>
      <c r="F51" s="12">
        <f>ROUND(E51-案件一覧!I4,1)</f>
        <v>0.0</v>
      </c>
    </row>
    <row r="52">
      <c r="A52" s="4" t="inlineStr">
        <is>
          <t>メディプロ</t>
        </is>
      </c>
      <c r="D52" s="21">
        <f>SUMIFS($D$5:$D$47,$A$5:$A$47,$A52,$C$5:$C$47,"HD現金")</f>
        <v>32.0</v>
      </c>
      <c r="E52" s="21">
        <f>SUMIFS($E$5:$E$47,$A$5:$A$47,$A52,$C$5:$C$47,"HD現金")-SUMIFS($E$5:$E$47,$A$5:$A$47,$A52,$C$5:$C$47,"対象会社借入",$B$5:$B$47,"*充当*")</f>
        <v>32.0</v>
      </c>
      <c r="F52" s="12">
        <f>ROUND(E52-案件一覧!I5,1)</f>
        <v>0.0</v>
      </c>
    </row>
    <row r="53">
      <c r="A53" s="4" t="inlineStr">
        <is>
          <t>ヒューマンアイ</t>
        </is>
      </c>
      <c r="D53" s="21">
        <f>SUMIFS($D$5:$D$47,$A$5:$A$47,$A53,$C$5:$C$47,"HD現金")</f>
        <v>36.5</v>
      </c>
      <c r="E53" s="21">
        <f>SUMIFS($E$5:$E$47,$A$5:$A$47,$A53,$C$5:$C$47,"HD現金")-SUMIFS($E$5:$E$47,$A$5:$A$47,$A53,$C$5:$C$47,"対象会社借入",$B$5:$B$47,"*充当*")</f>
        <v>36.5</v>
      </c>
      <c r="F53" s="12">
        <f>ROUND(E53-案件一覧!I6,1)</f>
        <v>0.0</v>
      </c>
    </row>
    <row r="54">
      <c r="A54" s="4" t="inlineStr">
        <is>
          <t>クレッシェンド</t>
        </is>
      </c>
      <c r="D54" s="21">
        <f>SUMIFS($D$5:$D$47,$A$5:$A$47,$A54,$C$5:$C$47,"HD現金")</f>
        <v>91.1</v>
      </c>
      <c r="E54" s="21">
        <f>SUMIFS($E$5:$E$47,$A$5:$A$47,$A54,$C$5:$C$47,"HD現金")-SUMIFS($E$5:$E$47,$A$5:$A$47,$A54,$C$5:$C$47,"対象会社借入",$B$5:$B$47,"*充当*")</f>
        <v>35.1</v>
      </c>
      <c r="F54" s="12">
        <f>ROUND(E54-案件一覧!I7,1)</f>
        <v>0.0</v>
      </c>
    </row>
    <row r="55">
      <c r="A55" s="4" t="inlineStr">
        <is>
          <t>ワイズケア</t>
        </is>
      </c>
      <c r="D55" s="21">
        <f>SUMIFS($D$5:$D$47,$A$5:$A$47,$A55,$C$5:$C$47,"HD現金")</f>
        <v>266</v>
      </c>
      <c r="E55" s="21">
        <f>SUMIFS($E$5:$E$47,$A$5:$A$47,$A55,$C$5:$C$47,"HD現金")-SUMIFS($E$5:$E$47,$A$5:$A$47,$A55,$C$5:$C$47,"対象会社借入",$B$5:$B$47,"*充当*")</f>
        <v>136</v>
      </c>
      <c r="F55" s="12">
        <f>ROUND(E55-案件一覧!I8,1)</f>
        <v>0.0</v>
      </c>
    </row>
    <row r="56">
      <c r="A56" s="4" t="inlineStr">
        <is>
          <t>エーステイスト</t>
        </is>
      </c>
      <c r="D56" s="21">
        <f>SUMIFS($D$5:$D$47,$A$5:$A$47,$A56,$C$5:$C$47,"HD現金")</f>
        <v>74.5</v>
      </c>
      <c r="E56" s="21">
        <f>SUMIFS($E$5:$E$47,$A$5:$A$47,$A56,$C$5:$C$47,"HD現金")-SUMIFS($E$5:$E$47,$A$5:$A$47,$A56,$C$5:$C$47,"対象会社借入",$B$5:$B$47,"*充当*")</f>
        <v>74.5</v>
      </c>
      <c r="F56" s="12">
        <f>ROUND(E56-案件一覧!I9,1)</f>
        <v>0.0</v>
      </c>
    </row>
    <row r="57">
      <c r="A57" s="4" t="inlineStr">
        <is>
          <t>日本経営センター</t>
        </is>
      </c>
      <c r="D57" s="21">
        <f>SUMIFS($D$5:$D$47,$A$5:$A$47,$A57,$C$5:$C$47,"HD現金")</f>
        <v>109.5</v>
      </c>
      <c r="E57" s="21">
        <f>SUMIFS($E$5:$E$47,$A$5:$A$47,$A57,$C$5:$C$47,"HD現金")-SUMIFS($E$5:$E$47,$A$5:$A$47,$A57,$C$5:$C$47,"対象会社借入",$B$5:$B$47,"*充当*")</f>
        <v>92.5</v>
      </c>
      <c r="F57" s="12">
        <f>ROUND(E57-案件一覧!I10,1)</f>
        <v>0.0</v>
      </c>
    </row>
    <row r="58">
      <c r="A58" s="4" t="inlineStr">
        <is>
          <t>セレサ</t>
        </is>
      </c>
      <c r="D58" s="21">
        <f>SUMIFS($D$5:$D$47,$A$5:$A$47,$A58,$C$5:$C$47,"HD現金")</f>
        <v>62.2</v>
      </c>
      <c r="E58" s="21">
        <f>SUMIFS($E$5:$E$47,$A$5:$A$47,$A58,$C$5:$C$47,"HD現金")-SUMIFS($E$5:$E$47,$A$5:$A$47,$A58,$C$5:$C$47,"対象会社借入",$B$5:$B$47,"*充当*")</f>
        <v>57.6</v>
      </c>
      <c r="F58" s="12">
        <f>ROUND(E58-案件一覧!I11,1)</f>
        <v>0.0</v>
      </c>
    </row>
    <row r="59">
      <c r="A59" s="4" t="inlineStr">
        <is>
          <t>シルバーメディカル</t>
        </is>
      </c>
      <c r="D59" s="21">
        <f>SUMIFS($D$5:$D$47,$A$5:$A$47,$A59,$C$5:$C$47,"HD現金")</f>
        <v>178.1</v>
      </c>
      <c r="E59" s="21">
        <f>SUMIFS($E$5:$E$47,$A$5:$A$47,$A59,$C$5:$C$47,"HD現金")-SUMIFS($E$5:$E$47,$A$5:$A$47,$A59,$C$5:$C$47,"対象会社借入",$B$5:$B$47,"*充当*")</f>
        <v>120.1</v>
      </c>
      <c r="F59" s="12">
        <f>ROUND(E59-案件一覧!I12,1)</f>
        <v>0.0</v>
      </c>
    </row>
    <row r="60">
      <c r="A60" s="4" t="inlineStr">
        <is>
          <t>合計</t>
        </is>
      </c>
      <c r="D60" s="22">
        <f>SUM(D51:D59)</f>
        <v>879.9</v>
      </c>
      <c r="E60" s="22">
        <f>SUM(E51:E59)</f>
        <v>614.3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1"/>
  <sheetViews>
    <sheetView workbookViewId="0">
      <pane xSplit="2" ySplit="17" topLeftCell="C18"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0" customWidth="1" min="19" max="19"/>
  </cols>
  <sheetData>
    <row r="1">
      <c r="A1" s="14" t="inlineStr">
        <is>
          <t>S1 基本（確定4件＋HT実行済） — HD単体 月次キャッシュ推移（百万円）</t>
        </is>
      </c>
    </row>
    <row r="2">
      <c r="A2" s="2" t="inlineStr">
        <is>
          <t>実行フラグ（1＝実行、0＝見送り）とモード（現行／最小化）を変えると全体が再計算されます。青字＝入力値</t>
        </is>
      </c>
    </row>
    <row r="3">
      <c r="A3" s="4" t="inlineStr">
        <is>
          <t>モード</t>
        </is>
      </c>
      <c r="B3" s="23" t="inlineStr">
        <is>
          <t>最小化</t>
        </is>
      </c>
      <c r="C3" s="2" t="inlineStr">
        <is>
          <t>← 「現行」または「最小化」</t>
        </is>
      </c>
    </row>
    <row r="5">
      <c r="A5" s="3" t="inlineStr">
        <is>
          <t>案件</t>
        </is>
      </c>
      <c r="B5" s="3" t="inlineStr">
        <is>
          <t>実行フラグ</t>
        </is>
      </c>
    </row>
    <row r="6">
      <c r="A6" s="6" t="inlineStr">
        <is>
          <t>HT100%化</t>
        </is>
      </c>
      <c r="B6" s="23" t="n">
        <v>1</v>
      </c>
    </row>
    <row r="7">
      <c r="A7" s="6" t="inlineStr">
        <is>
          <t>メディプロ</t>
        </is>
      </c>
      <c r="B7" s="23" t="n">
        <v>1</v>
      </c>
    </row>
    <row r="8">
      <c r="A8" s="6" t="inlineStr">
        <is>
          <t>ヒューマンアイ</t>
        </is>
      </c>
      <c r="B8" s="23" t="n">
        <v>1</v>
      </c>
    </row>
    <row r="9">
      <c r="A9" s="6" t="inlineStr">
        <is>
          <t>クレッシェンド</t>
        </is>
      </c>
      <c r="B9" s="23" t="n">
        <v>1</v>
      </c>
    </row>
    <row r="10">
      <c r="A10" s="6" t="inlineStr">
        <is>
          <t>ワイズケア</t>
        </is>
      </c>
      <c r="B10" s="23" t="n">
        <v>0</v>
      </c>
    </row>
    <row r="11">
      <c r="A11" s="6" t="inlineStr">
        <is>
          <t>エーステイスト</t>
        </is>
      </c>
      <c r="B11" s="23" t="n">
        <v>0</v>
      </c>
    </row>
    <row r="12">
      <c r="A12" s="6" t="inlineStr">
        <is>
          <t>日本経営センター</t>
        </is>
      </c>
      <c r="B12" s="23" t="n">
        <v>0</v>
      </c>
    </row>
    <row r="13">
      <c r="A13" s="6" t="inlineStr">
        <is>
          <t>セレサ</t>
        </is>
      </c>
      <c r="B13" s="23" t="n">
        <v>0</v>
      </c>
    </row>
    <row r="14">
      <c r="A14" s="6" t="inlineStr">
        <is>
          <t>シルバーメディカル</t>
        </is>
      </c>
      <c r="B14" s="23" t="n">
        <v>1</v>
      </c>
    </row>
    <row r="17">
      <c r="A17" s="3" t="inlineStr">
        <is>
          <t>項目</t>
        </is>
      </c>
      <c r="B17" s="3" t="inlineStr"/>
      <c r="C17" s="3" t="inlineStr">
        <is>
          <t>2026/9</t>
        </is>
      </c>
      <c r="D17" s="3" t="inlineStr">
        <is>
          <t>2026/10</t>
        </is>
      </c>
      <c r="E17" s="3" t="inlineStr">
        <is>
          <t>2026/11</t>
        </is>
      </c>
      <c r="F17" s="3" t="inlineStr">
        <is>
          <t>2026/12</t>
        </is>
      </c>
      <c r="G17" s="3" t="inlineStr">
        <is>
          <t>2027/1</t>
        </is>
      </c>
      <c r="H17" s="3" t="inlineStr">
        <is>
          <t>2027/2</t>
        </is>
      </c>
      <c r="I17" s="3" t="inlineStr">
        <is>
          <t>2027/3</t>
        </is>
      </c>
      <c r="J17" s="3" t="inlineStr">
        <is>
          <t>2027/4</t>
        </is>
      </c>
      <c r="K17" s="3" t="inlineStr">
        <is>
          <t>2027/5</t>
        </is>
      </c>
      <c r="L17" s="3" t="inlineStr">
        <is>
          <t>2027/6</t>
        </is>
      </c>
      <c r="M17" s="3" t="inlineStr">
        <is>
          <t>2027/7</t>
        </is>
      </c>
      <c r="N17" s="3" t="inlineStr">
        <is>
          <t>2027/8</t>
        </is>
      </c>
      <c r="O17" s="3" t="inlineStr">
        <is>
          <t>2027/9</t>
        </is>
      </c>
      <c r="P17" s="3" t="inlineStr">
        <is>
          <t>2027/10</t>
        </is>
      </c>
      <c r="Q17" s="3" t="inlineStr">
        <is>
          <t>2027/11</t>
        </is>
      </c>
      <c r="R17" s="3" t="inlineStr">
        <is>
          <t>2027/12</t>
        </is>
      </c>
      <c r="S17" s="3" t="inlineStr">
        <is>
          <t>合計</t>
        </is>
      </c>
    </row>
    <row r="18">
      <c r="A18" s="4" t="inlineStr">
        <is>
          <t>期首現預金</t>
        </is>
      </c>
      <c r="C18" s="21">
        <f>前提!$B$3</f>
        <v>366.3</v>
      </c>
      <c r="D18" s="21">
        <f>C31</f>
        <v>329.3</v>
      </c>
      <c r="E18" s="21">
        <f>D31</f>
        <v>304.1</v>
      </c>
      <c r="F18" s="21">
        <f>E31</f>
        <v>229.6</v>
      </c>
      <c r="G18" s="21">
        <f>F31</f>
        <v>96.6</v>
      </c>
      <c r="H18" s="21">
        <f>G31</f>
        <v>91.6</v>
      </c>
      <c r="I18" s="21">
        <f>H31</f>
        <v>86.6</v>
      </c>
      <c r="J18" s="21">
        <f>I31</f>
        <v>69.6</v>
      </c>
      <c r="K18" s="21">
        <f>J31</f>
        <v>64.6</v>
      </c>
      <c r="L18" s="21">
        <f>K31</f>
        <v>59.6</v>
      </c>
      <c r="M18" s="21">
        <f>L31</f>
        <v>54.6</v>
      </c>
      <c r="N18" s="21">
        <f>M31</f>
        <v>49.6</v>
      </c>
      <c r="O18" s="21">
        <f>N31</f>
        <v>44.6</v>
      </c>
      <c r="P18" s="21">
        <f>O31</f>
        <v>39.6</v>
      </c>
      <c r="Q18" s="21">
        <f>P31</f>
        <v>34.6</v>
      </c>
      <c r="R18" s="21">
        <f>Q31</f>
        <v>29.6</v>
      </c>
      <c r="S18" s="21" t="n"/>
    </row>
    <row r="19">
      <c r="A19" s="6" t="inlineStr">
        <is>
          <t>HD運営費</t>
        </is>
      </c>
      <c r="C19" s="24">
        <f>前提!D$11</f>
        <v>-7</v>
      </c>
      <c r="D19" s="24">
        <f>前提!E$11</f>
        <v>-7</v>
      </c>
      <c r="E19" s="24">
        <f>前提!F$11</f>
        <v>-7</v>
      </c>
      <c r="F19" s="24">
        <f>前提!G$11</f>
        <v>-7</v>
      </c>
      <c r="G19" s="24">
        <f>前提!H$11</f>
        <v>-5</v>
      </c>
      <c r="H19" s="24">
        <f>前提!I$11</f>
        <v>-5</v>
      </c>
      <c r="I19" s="24">
        <f>前提!J$11</f>
        <v>-5</v>
      </c>
      <c r="J19" s="24">
        <f>前提!K$11</f>
        <v>-5</v>
      </c>
      <c r="K19" s="24">
        <f>前提!L$11</f>
        <v>-5</v>
      </c>
      <c r="L19" s="24">
        <f>前提!M$11</f>
        <v>-5</v>
      </c>
      <c r="M19" s="24">
        <f>前提!N$11</f>
        <v>-5</v>
      </c>
      <c r="N19" s="24">
        <f>前提!O$11</f>
        <v>-5</v>
      </c>
      <c r="O19" s="24">
        <f>前提!P$11</f>
        <v>-5</v>
      </c>
      <c r="P19" s="24">
        <f>前提!Q$11</f>
        <v>-5</v>
      </c>
      <c r="Q19" s="24">
        <f>前提!R$11</f>
        <v>-5</v>
      </c>
      <c r="R19" s="24">
        <f>前提!S$11</f>
        <v>-5</v>
      </c>
      <c r="S19" s="24">
        <f>SUM(C19:R19)</f>
        <v>-88</v>
      </c>
    </row>
    <row r="20">
      <c r="A20" s="4" t="inlineStr">
        <is>
          <t>案件支出（マイナスは対象会社借入等による軽減）</t>
        </is>
      </c>
    </row>
    <row r="21">
      <c r="A21" s="6" t="inlineStr">
        <is>
          <t xml:space="preserve">　HT100%化</t>
        </is>
      </c>
      <c r="C21" s="24">
        <f>-$B$6*(SUMIFS(前提!$D$12:$D$51,前提!$A$12:$A$51,TRIM($A21),前提!$C$12:$C$51,"共通")+SUMIFS(前提!$D$12:$D$51,前提!$A$12:$A$51,TRIM($A21),前提!$C$12:$C$51,$B$3))</f>
        <v>-30.0</v>
      </c>
      <c r="D21" s="24">
        <f>-$B$6*(SUMIFS(前提!$E$12:$E$51,前提!$A$12:$A$51,TRIM($A21),前提!$C$12:$C$51,"共通")+SUMIFS(前提!$E$12:$E$51,前提!$A$12:$A$51,TRIM($A21),前提!$C$12:$C$51,$B$3))</f>
        <v>0</v>
      </c>
      <c r="E21" s="24">
        <f>-$B$6*(SUMIFS(前提!$F$12:$F$51,前提!$A$12:$A$51,TRIM($A21),前提!$C$12:$C$51,"共通")+SUMIFS(前提!$F$12:$F$51,前提!$A$12:$A$51,TRIM($A21),前提!$C$12:$C$51,$B$3))</f>
        <v>0</v>
      </c>
      <c r="F21" s="24">
        <f>-$B$6*(SUMIFS(前提!$G$12:$G$51,前提!$A$12:$A$51,TRIM($A21),前提!$C$12:$C$51,"共通")+SUMIFS(前提!$G$12:$G$51,前提!$A$12:$A$51,TRIM($A21),前提!$C$12:$C$51,$B$3))</f>
        <v>0</v>
      </c>
      <c r="G21" s="24">
        <f>-$B$6*(SUMIFS(前提!$H$12:$H$51,前提!$A$12:$A$51,TRIM($A21),前提!$C$12:$C$51,"共通")+SUMIFS(前提!$H$12:$H$51,前提!$A$12:$A$51,TRIM($A21),前提!$C$12:$C$51,$B$3))</f>
        <v>0</v>
      </c>
      <c r="H21" s="24">
        <f>-$B$6*(SUMIFS(前提!$I$12:$I$51,前提!$A$12:$A$51,TRIM($A21),前提!$C$12:$C$51,"共通")+SUMIFS(前提!$I$12:$I$51,前提!$A$12:$A$51,TRIM($A21),前提!$C$12:$C$51,$B$3))</f>
        <v>0</v>
      </c>
      <c r="I21" s="24">
        <f>-$B$6*(SUMIFS(前提!$J$12:$J$51,前提!$A$12:$A$51,TRIM($A21),前提!$C$12:$C$51,"共通")+SUMIFS(前提!$J$12:$J$51,前提!$A$12:$A$51,TRIM($A21),前提!$C$12:$C$51,$B$3))</f>
        <v>0</v>
      </c>
      <c r="J21" s="24">
        <f>-$B$6*(SUMIFS(前提!$K$12:$K$51,前提!$A$12:$A$51,TRIM($A21),前提!$C$12:$C$51,"共通")+SUMIFS(前提!$K$12:$K$51,前提!$A$12:$A$51,TRIM($A21),前提!$C$12:$C$51,$B$3))</f>
        <v>0</v>
      </c>
      <c r="K21" s="24">
        <f>-$B$6*(SUMIFS(前提!$L$12:$L$51,前提!$A$12:$A$51,TRIM($A21),前提!$C$12:$C$51,"共通")+SUMIFS(前提!$L$12:$L$51,前提!$A$12:$A$51,TRIM($A21),前提!$C$12:$C$51,$B$3))</f>
        <v>0</v>
      </c>
      <c r="L21" s="24">
        <f>-$B$6*(SUMIFS(前提!$M$12:$M$51,前提!$A$12:$A$51,TRIM($A21),前提!$C$12:$C$51,"共通")+SUMIFS(前提!$M$12:$M$51,前提!$A$12:$A$51,TRIM($A21),前提!$C$12:$C$51,$B$3))</f>
        <v>0</v>
      </c>
      <c r="M21" s="24">
        <f>-$B$6*(SUMIFS(前提!$N$12:$N$51,前提!$A$12:$A$51,TRIM($A21),前提!$C$12:$C$51,"共通")+SUMIFS(前提!$N$12:$N$51,前提!$A$12:$A$51,TRIM($A21),前提!$C$12:$C$51,$B$3))</f>
        <v>0</v>
      </c>
      <c r="N21" s="24">
        <f>-$B$6*(SUMIFS(前提!$O$12:$O$51,前提!$A$12:$A$51,TRIM($A21),前提!$C$12:$C$51,"共通")+SUMIFS(前提!$O$12:$O$51,前提!$A$12:$A$51,TRIM($A21),前提!$C$12:$C$51,$B$3))</f>
        <v>0</v>
      </c>
      <c r="O21" s="24">
        <f>-$B$6*(SUMIFS(前提!$P$12:$P$51,前提!$A$12:$A$51,TRIM($A21),前提!$C$12:$C$51,"共通")+SUMIFS(前提!$P$12:$P$51,前提!$A$12:$A$51,TRIM($A21),前提!$C$12:$C$51,$B$3))</f>
        <v>0</v>
      </c>
      <c r="P21" s="24">
        <f>-$B$6*(SUMIFS(前提!$Q$12:$Q$51,前提!$A$12:$A$51,TRIM($A21),前提!$C$12:$C$51,"共通")+SUMIFS(前提!$Q$12:$Q$51,前提!$A$12:$A$51,TRIM($A21),前提!$C$12:$C$51,$B$3))</f>
        <v>0</v>
      </c>
      <c r="Q21" s="24">
        <f>-$B$6*(SUMIFS(前提!$R$12:$R$51,前提!$A$12:$A$51,TRIM($A21),前提!$C$12:$C$51,"共通")+SUMIFS(前提!$R$12:$R$51,前提!$A$12:$A$51,TRIM($A21),前提!$C$12:$C$51,$B$3))</f>
        <v>0</v>
      </c>
      <c r="R21" s="24">
        <f>-$B$6*(SUMIFS(前提!$S$12:$S$51,前提!$A$12:$A$51,TRIM($A21),前提!$C$12:$C$51,"共通")+SUMIFS(前提!$S$12:$S$51,前提!$A$12:$A$51,TRIM($A21),前提!$C$12:$C$51,$B$3))</f>
        <v>0</v>
      </c>
      <c r="S21" s="24">
        <f>SUM(C21:R21)</f>
        <v>-30.0</v>
      </c>
    </row>
    <row r="22">
      <c r="A22" s="6" t="inlineStr">
        <is>
          <t xml:space="preserve">　メディプロ</t>
        </is>
      </c>
      <c r="C22" s="24">
        <f>-$B$7*(SUMIFS(前提!$D$12:$D$51,前提!$A$12:$A$51,TRIM($A22),前提!$C$12:$C$51,"共通")+SUMIFS(前提!$D$12:$D$51,前提!$A$12:$A$51,TRIM($A22),前提!$C$12:$C$51,$B$3))</f>
        <v>0</v>
      </c>
      <c r="D22" s="24">
        <f>-$B$7*(SUMIFS(前提!$E$12:$E$51,前提!$A$12:$A$51,TRIM($A22),前提!$C$12:$C$51,"共通")+SUMIFS(前提!$E$12:$E$51,前提!$A$12:$A$51,TRIM($A22),前提!$C$12:$C$51,$B$3))</f>
        <v>-1.5</v>
      </c>
      <c r="E22" s="24">
        <f>-$B$7*(SUMIFS(前提!$F$12:$F$51,前提!$A$12:$A$51,TRIM($A22),前提!$C$12:$C$51,"共通")+SUMIFS(前提!$F$12:$F$51,前提!$A$12:$A$51,TRIM($A22),前提!$C$12:$C$51,$B$3))</f>
        <v>-30.5</v>
      </c>
      <c r="F22" s="24">
        <f>-$B$7*(SUMIFS(前提!$G$12:$G$51,前提!$A$12:$A$51,TRIM($A22),前提!$C$12:$C$51,"共通")+SUMIFS(前提!$G$12:$G$51,前提!$A$12:$A$51,TRIM($A22),前提!$C$12:$C$51,$B$3))</f>
        <v>0</v>
      </c>
      <c r="G22" s="24">
        <f>-$B$7*(SUMIFS(前提!$H$12:$H$51,前提!$A$12:$A$51,TRIM($A22),前提!$C$12:$C$51,"共通")+SUMIFS(前提!$H$12:$H$51,前提!$A$12:$A$51,TRIM($A22),前提!$C$12:$C$51,$B$3))</f>
        <v>0</v>
      </c>
      <c r="H22" s="24">
        <f>-$B$7*(SUMIFS(前提!$I$12:$I$51,前提!$A$12:$A$51,TRIM($A22),前提!$C$12:$C$51,"共通")+SUMIFS(前提!$I$12:$I$51,前提!$A$12:$A$51,TRIM($A22),前提!$C$12:$C$51,$B$3))</f>
        <v>0</v>
      </c>
      <c r="I22" s="24">
        <f>-$B$7*(SUMIFS(前提!$J$12:$J$51,前提!$A$12:$A$51,TRIM($A22),前提!$C$12:$C$51,"共通")+SUMIFS(前提!$J$12:$J$51,前提!$A$12:$A$51,TRIM($A22),前提!$C$12:$C$51,$B$3))</f>
        <v>0</v>
      </c>
      <c r="J22" s="24">
        <f>-$B$7*(SUMIFS(前提!$K$12:$K$51,前提!$A$12:$A$51,TRIM($A22),前提!$C$12:$C$51,"共通")+SUMIFS(前提!$K$12:$K$51,前提!$A$12:$A$51,TRIM($A22),前提!$C$12:$C$51,$B$3))</f>
        <v>0</v>
      </c>
      <c r="K22" s="24">
        <f>-$B$7*(SUMIFS(前提!$L$12:$L$51,前提!$A$12:$A$51,TRIM($A22),前提!$C$12:$C$51,"共通")+SUMIFS(前提!$L$12:$L$51,前提!$A$12:$A$51,TRIM($A22),前提!$C$12:$C$51,$B$3))</f>
        <v>0</v>
      </c>
      <c r="L22" s="24">
        <f>-$B$7*(SUMIFS(前提!$M$12:$M$51,前提!$A$12:$A$51,TRIM($A22),前提!$C$12:$C$51,"共通")+SUMIFS(前提!$M$12:$M$51,前提!$A$12:$A$51,TRIM($A22),前提!$C$12:$C$51,$B$3))</f>
        <v>0</v>
      </c>
      <c r="M22" s="24">
        <f>-$B$7*(SUMIFS(前提!$N$12:$N$51,前提!$A$12:$A$51,TRIM($A22),前提!$C$12:$C$51,"共通")+SUMIFS(前提!$N$12:$N$51,前提!$A$12:$A$51,TRIM($A22),前提!$C$12:$C$51,$B$3))</f>
        <v>0</v>
      </c>
      <c r="N22" s="24">
        <f>-$B$7*(SUMIFS(前提!$O$12:$O$51,前提!$A$12:$A$51,TRIM($A22),前提!$C$12:$C$51,"共通")+SUMIFS(前提!$O$12:$O$51,前提!$A$12:$A$51,TRIM($A22),前提!$C$12:$C$51,$B$3))</f>
        <v>0</v>
      </c>
      <c r="O22" s="24">
        <f>-$B$7*(SUMIFS(前提!$P$12:$P$51,前提!$A$12:$A$51,TRIM($A22),前提!$C$12:$C$51,"共通")+SUMIFS(前提!$P$12:$P$51,前提!$A$12:$A$51,TRIM($A22),前提!$C$12:$C$51,$B$3))</f>
        <v>0</v>
      </c>
      <c r="P22" s="24">
        <f>-$B$7*(SUMIFS(前提!$Q$12:$Q$51,前提!$A$12:$A$51,TRIM($A22),前提!$C$12:$C$51,"共通")+SUMIFS(前提!$Q$12:$Q$51,前提!$A$12:$A$51,TRIM($A22),前提!$C$12:$C$51,$B$3))</f>
        <v>0</v>
      </c>
      <c r="Q22" s="24">
        <f>-$B$7*(SUMIFS(前提!$R$12:$R$51,前提!$A$12:$A$51,TRIM($A22),前提!$C$12:$C$51,"共通")+SUMIFS(前提!$R$12:$R$51,前提!$A$12:$A$51,TRIM($A22),前提!$C$12:$C$51,$B$3))</f>
        <v>0</v>
      </c>
      <c r="R22" s="24">
        <f>-$B$7*(SUMIFS(前提!$S$12:$S$51,前提!$A$12:$A$51,TRIM($A22),前提!$C$12:$C$51,"共通")+SUMIFS(前提!$S$12:$S$51,前提!$A$12:$A$51,TRIM($A22),前提!$C$12:$C$51,$B$3))</f>
        <v>0</v>
      </c>
      <c r="S22" s="24">
        <f>SUM(C22:R22)</f>
        <v>-32.0</v>
      </c>
    </row>
    <row r="23">
      <c r="A23" s="6" t="inlineStr">
        <is>
          <t xml:space="preserve">　ヒューマンアイ</t>
        </is>
      </c>
      <c r="C23" s="24">
        <f>-$B$8*(SUMIFS(前提!$D$12:$D$51,前提!$A$12:$A$51,TRIM($A23),前提!$C$12:$C$51,"共通")+SUMIFS(前提!$D$12:$D$51,前提!$A$12:$A$51,TRIM($A23),前提!$C$12:$C$51,$B$3))</f>
        <v>0</v>
      </c>
      <c r="D23" s="24">
        <f>-$B$8*(SUMIFS(前提!$E$12:$E$51,前提!$A$12:$A$51,TRIM($A23),前提!$C$12:$C$51,"共通")+SUMIFS(前提!$E$12:$E$51,前提!$A$12:$A$51,TRIM($A23),前提!$C$12:$C$51,$B$3))</f>
        <v>-12.5</v>
      </c>
      <c r="E23" s="24">
        <f>-$B$8*(SUMIFS(前提!$F$12:$F$51,前提!$A$12:$A$51,TRIM($A23),前提!$C$12:$C$51,"共通")+SUMIFS(前提!$F$12:$F$51,前提!$A$12:$A$51,TRIM($A23),前提!$C$12:$C$51,$B$3))</f>
        <v>0</v>
      </c>
      <c r="F23" s="24">
        <f>-$B$8*(SUMIFS(前提!$G$12:$G$51,前提!$A$12:$A$51,TRIM($A23),前提!$C$12:$C$51,"共通")+SUMIFS(前提!$G$12:$G$51,前提!$A$12:$A$51,TRIM($A23),前提!$C$12:$C$51,$B$3))</f>
        <v>-12.0</v>
      </c>
      <c r="G23" s="24">
        <f>-$B$8*(SUMIFS(前提!$H$12:$H$51,前提!$A$12:$A$51,TRIM($A23),前提!$C$12:$C$51,"共通")+SUMIFS(前提!$H$12:$H$51,前提!$A$12:$A$51,TRIM($A23),前提!$C$12:$C$51,$B$3))</f>
        <v>0</v>
      </c>
      <c r="H23" s="24">
        <f>-$B$8*(SUMIFS(前提!$I$12:$I$51,前提!$A$12:$A$51,TRIM($A23),前提!$C$12:$C$51,"共通")+SUMIFS(前提!$I$12:$I$51,前提!$A$12:$A$51,TRIM($A23),前提!$C$12:$C$51,$B$3))</f>
        <v>0</v>
      </c>
      <c r="I23" s="24">
        <f>-$B$8*(SUMIFS(前提!$J$12:$J$51,前提!$A$12:$A$51,TRIM($A23),前提!$C$12:$C$51,"共通")+SUMIFS(前提!$J$12:$J$51,前提!$A$12:$A$51,TRIM($A23),前提!$C$12:$C$51,$B$3))</f>
        <v>-12.0</v>
      </c>
      <c r="J23" s="24">
        <f>-$B$8*(SUMIFS(前提!$K$12:$K$51,前提!$A$12:$A$51,TRIM($A23),前提!$C$12:$C$51,"共通")+SUMIFS(前提!$K$12:$K$51,前提!$A$12:$A$51,TRIM($A23),前提!$C$12:$C$51,$B$3))</f>
        <v>0</v>
      </c>
      <c r="K23" s="24">
        <f>-$B$8*(SUMIFS(前提!$L$12:$L$51,前提!$A$12:$A$51,TRIM($A23),前提!$C$12:$C$51,"共通")+SUMIFS(前提!$L$12:$L$51,前提!$A$12:$A$51,TRIM($A23),前提!$C$12:$C$51,$B$3))</f>
        <v>0</v>
      </c>
      <c r="L23" s="24">
        <f>-$B$8*(SUMIFS(前提!$M$12:$M$51,前提!$A$12:$A$51,TRIM($A23),前提!$C$12:$C$51,"共通")+SUMIFS(前提!$M$12:$M$51,前提!$A$12:$A$51,TRIM($A23),前提!$C$12:$C$51,$B$3))</f>
        <v>0</v>
      </c>
      <c r="M23" s="24">
        <f>-$B$8*(SUMIFS(前提!$N$12:$N$51,前提!$A$12:$A$51,TRIM($A23),前提!$C$12:$C$51,"共通")+SUMIFS(前提!$N$12:$N$51,前提!$A$12:$A$51,TRIM($A23),前提!$C$12:$C$51,$B$3))</f>
        <v>0</v>
      </c>
      <c r="N23" s="24">
        <f>-$B$8*(SUMIFS(前提!$O$12:$O$51,前提!$A$12:$A$51,TRIM($A23),前提!$C$12:$C$51,"共通")+SUMIFS(前提!$O$12:$O$51,前提!$A$12:$A$51,TRIM($A23),前提!$C$12:$C$51,$B$3))</f>
        <v>0</v>
      </c>
      <c r="O23" s="24">
        <f>-$B$8*(SUMIFS(前提!$P$12:$P$51,前提!$A$12:$A$51,TRIM($A23),前提!$C$12:$C$51,"共通")+SUMIFS(前提!$P$12:$P$51,前提!$A$12:$A$51,TRIM($A23),前提!$C$12:$C$51,$B$3))</f>
        <v>0</v>
      </c>
      <c r="P23" s="24">
        <f>-$B$8*(SUMIFS(前提!$Q$12:$Q$51,前提!$A$12:$A$51,TRIM($A23),前提!$C$12:$C$51,"共通")+SUMIFS(前提!$Q$12:$Q$51,前提!$A$12:$A$51,TRIM($A23),前提!$C$12:$C$51,$B$3))</f>
        <v>0</v>
      </c>
      <c r="Q23" s="24">
        <f>-$B$8*(SUMIFS(前提!$R$12:$R$51,前提!$A$12:$A$51,TRIM($A23),前提!$C$12:$C$51,"共通")+SUMIFS(前提!$R$12:$R$51,前提!$A$12:$A$51,TRIM($A23),前提!$C$12:$C$51,$B$3))</f>
        <v>0</v>
      </c>
      <c r="R23" s="24">
        <f>-$B$8*(SUMIFS(前提!$S$12:$S$51,前提!$A$12:$A$51,TRIM($A23),前提!$C$12:$C$51,"共通")+SUMIFS(前提!$S$12:$S$51,前提!$A$12:$A$51,TRIM($A23),前提!$C$12:$C$51,$B$3))</f>
        <v>0</v>
      </c>
      <c r="S23" s="24">
        <f>SUM(C23:R23)</f>
        <v>-36.5</v>
      </c>
    </row>
    <row r="24">
      <c r="A24" s="6" t="inlineStr">
        <is>
          <t xml:space="preserve">　クレッシェンド</t>
        </is>
      </c>
      <c r="C24" s="24">
        <f>-$B$9*(SUMIFS(前提!$D$12:$D$51,前提!$A$12:$A$51,TRIM($A24),前提!$C$12:$C$51,"共通")+SUMIFS(前提!$D$12:$D$51,前提!$A$12:$A$51,TRIM($A24),前提!$C$12:$C$51,$B$3))</f>
        <v>0</v>
      </c>
      <c r="D24" s="24">
        <f>-$B$9*(SUMIFS(前提!$E$12:$E$51,前提!$A$12:$A$51,TRIM($A24),前提!$C$12:$C$51,"共通")+SUMIFS(前提!$E$12:$E$51,前提!$A$12:$A$51,TRIM($A24),前提!$C$12:$C$51,$B$3))</f>
        <v>-3.1</v>
      </c>
      <c r="E24" s="24">
        <f>-$B$9*(SUMIFS(前提!$F$12:$F$51,前提!$A$12:$A$51,TRIM($A24),前提!$C$12:$C$51,"共通")+SUMIFS(前提!$F$12:$F$51,前提!$A$12:$A$51,TRIM($A24),前提!$C$12:$C$51,$B$3))</f>
        <v>-32.0</v>
      </c>
      <c r="F24" s="24">
        <f>-$B$9*(SUMIFS(前提!$G$12:$G$51,前提!$A$12:$A$51,TRIM($A24),前提!$C$12:$C$51,"共通")+SUMIFS(前提!$G$12:$G$51,前提!$A$12:$A$51,TRIM($A24),前提!$C$12:$C$51,$B$3))</f>
        <v>0</v>
      </c>
      <c r="G24" s="24">
        <f>-$B$9*(SUMIFS(前提!$H$12:$H$51,前提!$A$12:$A$51,TRIM($A24),前提!$C$12:$C$51,"共通")+SUMIFS(前提!$H$12:$H$51,前提!$A$12:$A$51,TRIM($A24),前提!$C$12:$C$51,$B$3))</f>
        <v>0</v>
      </c>
      <c r="H24" s="24">
        <f>-$B$9*(SUMIFS(前提!$I$12:$I$51,前提!$A$12:$A$51,TRIM($A24),前提!$C$12:$C$51,"共通")+SUMIFS(前提!$I$12:$I$51,前提!$A$12:$A$51,TRIM($A24),前提!$C$12:$C$51,$B$3))</f>
        <v>0</v>
      </c>
      <c r="I24" s="24">
        <f>-$B$9*(SUMIFS(前提!$J$12:$J$51,前提!$A$12:$A$51,TRIM($A24),前提!$C$12:$C$51,"共通")+SUMIFS(前提!$J$12:$J$51,前提!$A$12:$A$51,TRIM($A24),前提!$C$12:$C$51,$B$3))</f>
        <v>0</v>
      </c>
      <c r="J24" s="24">
        <f>-$B$9*(SUMIFS(前提!$K$12:$K$51,前提!$A$12:$A$51,TRIM($A24),前提!$C$12:$C$51,"共通")+SUMIFS(前提!$K$12:$K$51,前提!$A$12:$A$51,TRIM($A24),前提!$C$12:$C$51,$B$3))</f>
        <v>0</v>
      </c>
      <c r="K24" s="24">
        <f>-$B$9*(SUMIFS(前提!$L$12:$L$51,前提!$A$12:$A$51,TRIM($A24),前提!$C$12:$C$51,"共通")+SUMIFS(前提!$L$12:$L$51,前提!$A$12:$A$51,TRIM($A24),前提!$C$12:$C$51,$B$3))</f>
        <v>0</v>
      </c>
      <c r="L24" s="24">
        <f>-$B$9*(SUMIFS(前提!$M$12:$M$51,前提!$A$12:$A$51,TRIM($A24),前提!$C$12:$C$51,"共通")+SUMIFS(前提!$M$12:$M$51,前提!$A$12:$A$51,TRIM($A24),前提!$C$12:$C$51,$B$3))</f>
        <v>0</v>
      </c>
      <c r="M24" s="24">
        <f>-$B$9*(SUMIFS(前提!$N$12:$N$51,前提!$A$12:$A$51,TRIM($A24),前提!$C$12:$C$51,"共通")+SUMIFS(前提!$N$12:$N$51,前提!$A$12:$A$51,TRIM($A24),前提!$C$12:$C$51,$B$3))</f>
        <v>0</v>
      </c>
      <c r="N24" s="24">
        <f>-$B$9*(SUMIFS(前提!$O$12:$O$51,前提!$A$12:$A$51,TRIM($A24),前提!$C$12:$C$51,"共通")+SUMIFS(前提!$O$12:$O$51,前提!$A$12:$A$51,TRIM($A24),前提!$C$12:$C$51,$B$3))</f>
        <v>0</v>
      </c>
      <c r="O24" s="24">
        <f>-$B$9*(SUMIFS(前提!$P$12:$P$51,前提!$A$12:$A$51,TRIM($A24),前提!$C$12:$C$51,"共通")+SUMIFS(前提!$P$12:$P$51,前提!$A$12:$A$51,TRIM($A24),前提!$C$12:$C$51,$B$3))</f>
        <v>0</v>
      </c>
      <c r="P24" s="24">
        <f>-$B$9*(SUMIFS(前提!$Q$12:$Q$51,前提!$A$12:$A$51,TRIM($A24),前提!$C$12:$C$51,"共通")+SUMIFS(前提!$Q$12:$Q$51,前提!$A$12:$A$51,TRIM($A24),前提!$C$12:$C$51,$B$3))</f>
        <v>0</v>
      </c>
      <c r="Q24" s="24">
        <f>-$B$9*(SUMIFS(前提!$R$12:$R$51,前提!$A$12:$A$51,TRIM($A24),前提!$C$12:$C$51,"共通")+SUMIFS(前提!$R$12:$R$51,前提!$A$12:$A$51,TRIM($A24),前提!$C$12:$C$51,$B$3))</f>
        <v>0</v>
      </c>
      <c r="R24" s="24">
        <f>-$B$9*(SUMIFS(前提!$S$12:$S$51,前提!$A$12:$A$51,TRIM($A24),前提!$C$12:$C$51,"共通")+SUMIFS(前提!$S$12:$S$51,前提!$A$12:$A$51,TRIM($A24),前提!$C$12:$C$51,$B$3))</f>
        <v>0</v>
      </c>
      <c r="S24" s="24">
        <f>SUM(C24:R24)</f>
        <v>-35.1</v>
      </c>
    </row>
    <row r="25">
      <c r="A25" s="6" t="inlineStr">
        <is>
          <t xml:space="preserve">　ワイズケア</t>
        </is>
      </c>
      <c r="C25" s="24">
        <f>-$B$10*(SUMIFS(前提!$D$12:$D$51,前提!$A$12:$A$51,TRIM($A25),前提!$C$12:$C$51,"共通")+SUMIFS(前提!$D$12:$D$51,前提!$A$12:$A$51,TRIM($A25),前提!$C$12:$C$51,$B$3))</f>
        <v>0</v>
      </c>
      <c r="D25" s="24">
        <f>-$B$10*(SUMIFS(前提!$E$12:$E$51,前提!$A$12:$A$51,TRIM($A25),前提!$C$12:$C$51,"共通")+SUMIFS(前提!$E$12:$E$51,前提!$A$12:$A$51,TRIM($A25),前提!$C$12:$C$51,$B$3))</f>
        <v>0.0</v>
      </c>
      <c r="E25" s="24">
        <f>-$B$10*(SUMIFS(前提!$F$12:$F$51,前提!$A$12:$A$51,TRIM($A25),前提!$C$12:$C$51,"共通")+SUMIFS(前提!$F$12:$F$51,前提!$A$12:$A$51,TRIM($A25),前提!$C$12:$C$51,$B$3))</f>
        <v>0.0</v>
      </c>
      <c r="F25" s="24">
        <f>-$B$10*(SUMIFS(前提!$G$12:$G$51,前提!$A$12:$A$51,TRIM($A25),前提!$C$12:$C$51,"共通")+SUMIFS(前提!$G$12:$G$51,前提!$A$12:$A$51,TRIM($A25),前提!$C$12:$C$51,$B$3))</f>
        <v>0</v>
      </c>
      <c r="G25" s="24">
        <f>-$B$10*(SUMIFS(前提!$H$12:$H$51,前提!$A$12:$A$51,TRIM($A25),前提!$C$12:$C$51,"共通")+SUMIFS(前提!$H$12:$H$51,前提!$A$12:$A$51,TRIM($A25),前提!$C$12:$C$51,$B$3))</f>
        <v>0</v>
      </c>
      <c r="H25" s="24">
        <f>-$B$10*(SUMIFS(前提!$I$12:$I$51,前提!$A$12:$A$51,TRIM($A25),前提!$C$12:$C$51,"共通")+SUMIFS(前提!$I$12:$I$51,前提!$A$12:$A$51,TRIM($A25),前提!$C$12:$C$51,$B$3))</f>
        <v>0</v>
      </c>
      <c r="I25" s="24">
        <f>-$B$10*(SUMIFS(前提!$J$12:$J$51,前提!$A$12:$A$51,TRIM($A25),前提!$C$12:$C$51,"共通")+SUMIFS(前提!$J$12:$J$51,前提!$A$12:$A$51,TRIM($A25),前提!$C$12:$C$51,$B$3))</f>
        <v>0</v>
      </c>
      <c r="J25" s="24">
        <f>-$B$10*(SUMIFS(前提!$K$12:$K$51,前提!$A$12:$A$51,TRIM($A25),前提!$C$12:$C$51,"共通")+SUMIFS(前提!$K$12:$K$51,前提!$A$12:$A$51,TRIM($A25),前提!$C$12:$C$51,$B$3))</f>
        <v>0</v>
      </c>
      <c r="K25" s="24">
        <f>-$B$10*(SUMIFS(前提!$L$12:$L$51,前提!$A$12:$A$51,TRIM($A25),前提!$C$12:$C$51,"共通")+SUMIFS(前提!$L$12:$L$51,前提!$A$12:$A$51,TRIM($A25),前提!$C$12:$C$51,$B$3))</f>
        <v>0</v>
      </c>
      <c r="L25" s="24">
        <f>-$B$10*(SUMIFS(前提!$M$12:$M$51,前提!$A$12:$A$51,TRIM($A25),前提!$C$12:$C$51,"共通")+SUMIFS(前提!$M$12:$M$51,前提!$A$12:$A$51,TRIM($A25),前提!$C$12:$C$51,$B$3))</f>
        <v>0</v>
      </c>
      <c r="M25" s="24">
        <f>-$B$10*(SUMIFS(前提!$N$12:$N$51,前提!$A$12:$A$51,TRIM($A25),前提!$C$12:$C$51,"共通")+SUMIFS(前提!$N$12:$N$51,前提!$A$12:$A$51,TRIM($A25),前提!$C$12:$C$51,$B$3))</f>
        <v>0</v>
      </c>
      <c r="N25" s="24">
        <f>-$B$10*(SUMIFS(前提!$O$12:$O$51,前提!$A$12:$A$51,TRIM($A25),前提!$C$12:$C$51,"共通")+SUMIFS(前提!$O$12:$O$51,前提!$A$12:$A$51,TRIM($A25),前提!$C$12:$C$51,$B$3))</f>
        <v>0</v>
      </c>
      <c r="O25" s="24">
        <f>-$B$10*(SUMIFS(前提!$P$12:$P$51,前提!$A$12:$A$51,TRIM($A25),前提!$C$12:$C$51,"共通")+SUMIFS(前提!$P$12:$P$51,前提!$A$12:$A$51,TRIM($A25),前提!$C$12:$C$51,$B$3))</f>
        <v>0</v>
      </c>
      <c r="P25" s="24">
        <f>-$B$10*(SUMIFS(前提!$Q$12:$Q$51,前提!$A$12:$A$51,TRIM($A25),前提!$C$12:$C$51,"共通")+SUMIFS(前提!$Q$12:$Q$51,前提!$A$12:$A$51,TRIM($A25),前提!$C$12:$C$51,$B$3))</f>
        <v>0</v>
      </c>
      <c r="Q25" s="24">
        <f>-$B$10*(SUMIFS(前提!$R$12:$R$51,前提!$A$12:$A$51,TRIM($A25),前提!$C$12:$C$51,"共通")+SUMIFS(前提!$R$12:$R$51,前提!$A$12:$A$51,TRIM($A25),前提!$C$12:$C$51,$B$3))</f>
        <v>0</v>
      </c>
      <c r="R25" s="24">
        <f>-$B$10*(SUMIFS(前提!$S$12:$S$51,前提!$A$12:$A$51,TRIM($A25),前提!$C$12:$C$51,"共通")+SUMIFS(前提!$S$12:$S$51,前提!$A$12:$A$51,TRIM($A25),前提!$C$12:$C$51,$B$3))</f>
        <v>0</v>
      </c>
      <c r="S25" s="24">
        <f>SUM(C25:R25)</f>
        <v>0.0</v>
      </c>
    </row>
    <row r="26">
      <c r="A26" s="6" t="inlineStr">
        <is>
          <t xml:space="preserve">　エーステイスト</t>
        </is>
      </c>
      <c r="C26" s="24">
        <f>-$B$11*(SUMIFS(前提!$D$12:$D$51,前提!$A$12:$A$51,TRIM($A26),前提!$C$12:$C$51,"共通")+SUMIFS(前提!$D$12:$D$51,前提!$A$12:$A$51,TRIM($A26),前提!$C$12:$C$51,$B$3))</f>
        <v>0</v>
      </c>
      <c r="D26" s="24">
        <f>-$B$11*(SUMIFS(前提!$E$12:$E$51,前提!$A$12:$A$51,TRIM($A26),前提!$C$12:$C$51,"共通")+SUMIFS(前提!$E$12:$E$51,前提!$A$12:$A$51,TRIM($A26),前提!$C$12:$C$51,$B$3))</f>
        <v>0.0</v>
      </c>
      <c r="E26" s="24">
        <f>-$B$11*(SUMIFS(前提!$F$12:$F$51,前提!$A$12:$A$51,TRIM($A26),前提!$C$12:$C$51,"共通")+SUMIFS(前提!$F$12:$F$51,前提!$A$12:$A$51,TRIM($A26),前提!$C$12:$C$51,$B$3))</f>
        <v>0.0</v>
      </c>
      <c r="F26" s="24">
        <f>-$B$11*(SUMIFS(前提!$G$12:$G$51,前提!$A$12:$A$51,TRIM($A26),前提!$C$12:$C$51,"共通")+SUMIFS(前提!$G$12:$G$51,前提!$A$12:$A$51,TRIM($A26),前提!$C$12:$C$51,$B$3))</f>
        <v>0.0</v>
      </c>
      <c r="G26" s="24">
        <f>-$B$11*(SUMIFS(前提!$H$12:$H$51,前提!$A$12:$A$51,TRIM($A26),前提!$C$12:$C$51,"共通")+SUMIFS(前提!$H$12:$H$51,前提!$A$12:$A$51,TRIM($A26),前提!$C$12:$C$51,$B$3))</f>
        <v>0</v>
      </c>
      <c r="H26" s="24">
        <f>-$B$11*(SUMIFS(前提!$I$12:$I$51,前提!$A$12:$A$51,TRIM($A26),前提!$C$12:$C$51,"共通")+SUMIFS(前提!$I$12:$I$51,前提!$A$12:$A$51,TRIM($A26),前提!$C$12:$C$51,$B$3))</f>
        <v>0</v>
      </c>
      <c r="I26" s="24">
        <f>-$B$11*(SUMIFS(前提!$J$12:$J$51,前提!$A$12:$A$51,TRIM($A26),前提!$C$12:$C$51,"共通")+SUMIFS(前提!$J$12:$J$51,前提!$A$12:$A$51,TRIM($A26),前提!$C$12:$C$51,$B$3))</f>
        <v>0</v>
      </c>
      <c r="J26" s="24">
        <f>-$B$11*(SUMIFS(前提!$K$12:$K$51,前提!$A$12:$A$51,TRIM($A26),前提!$C$12:$C$51,"共通")+SUMIFS(前提!$K$12:$K$51,前提!$A$12:$A$51,TRIM($A26),前提!$C$12:$C$51,$B$3))</f>
        <v>0</v>
      </c>
      <c r="K26" s="24">
        <f>-$B$11*(SUMIFS(前提!$L$12:$L$51,前提!$A$12:$A$51,TRIM($A26),前提!$C$12:$C$51,"共通")+SUMIFS(前提!$L$12:$L$51,前提!$A$12:$A$51,TRIM($A26),前提!$C$12:$C$51,$B$3))</f>
        <v>0</v>
      </c>
      <c r="L26" s="24">
        <f>-$B$11*(SUMIFS(前提!$M$12:$M$51,前提!$A$12:$A$51,TRIM($A26),前提!$C$12:$C$51,"共通")+SUMIFS(前提!$M$12:$M$51,前提!$A$12:$A$51,TRIM($A26),前提!$C$12:$C$51,$B$3))</f>
        <v>0</v>
      </c>
      <c r="M26" s="24">
        <f>-$B$11*(SUMIFS(前提!$N$12:$N$51,前提!$A$12:$A$51,TRIM($A26),前提!$C$12:$C$51,"共通")+SUMIFS(前提!$N$12:$N$51,前提!$A$12:$A$51,TRIM($A26),前提!$C$12:$C$51,$B$3))</f>
        <v>0</v>
      </c>
      <c r="N26" s="24">
        <f>-$B$11*(SUMIFS(前提!$O$12:$O$51,前提!$A$12:$A$51,TRIM($A26),前提!$C$12:$C$51,"共通")+SUMIFS(前提!$O$12:$O$51,前提!$A$12:$A$51,TRIM($A26),前提!$C$12:$C$51,$B$3))</f>
        <v>0</v>
      </c>
      <c r="O26" s="24">
        <f>-$B$11*(SUMIFS(前提!$P$12:$P$51,前提!$A$12:$A$51,TRIM($A26),前提!$C$12:$C$51,"共通")+SUMIFS(前提!$P$12:$P$51,前提!$A$12:$A$51,TRIM($A26),前提!$C$12:$C$51,$B$3))</f>
        <v>0</v>
      </c>
      <c r="P26" s="24">
        <f>-$B$11*(SUMIFS(前提!$Q$12:$Q$51,前提!$A$12:$A$51,TRIM($A26),前提!$C$12:$C$51,"共通")+SUMIFS(前提!$Q$12:$Q$51,前提!$A$12:$A$51,TRIM($A26),前提!$C$12:$C$51,$B$3))</f>
        <v>0</v>
      </c>
      <c r="Q26" s="24">
        <f>-$B$11*(SUMIFS(前提!$R$12:$R$51,前提!$A$12:$A$51,TRIM($A26),前提!$C$12:$C$51,"共通")+SUMIFS(前提!$R$12:$R$51,前提!$A$12:$A$51,TRIM($A26),前提!$C$12:$C$51,$B$3))</f>
        <v>0</v>
      </c>
      <c r="R26" s="24">
        <f>-$B$11*(SUMIFS(前提!$S$12:$S$51,前提!$A$12:$A$51,TRIM($A26),前提!$C$12:$C$51,"共通")+SUMIFS(前提!$S$12:$S$51,前提!$A$12:$A$51,TRIM($A26),前提!$C$12:$C$51,$B$3))</f>
        <v>0</v>
      </c>
      <c r="S26" s="24">
        <f>SUM(C26:R26)</f>
        <v>0.0</v>
      </c>
    </row>
    <row r="27">
      <c r="A27" s="6" t="inlineStr">
        <is>
          <t xml:space="preserve">　日本経営センター</t>
        </is>
      </c>
      <c r="C27" s="24">
        <f>-$B$12*(SUMIFS(前提!$D$12:$D$51,前提!$A$12:$A$51,TRIM($A27),前提!$C$12:$C$51,"共通")+SUMIFS(前提!$D$12:$D$51,前提!$A$12:$A$51,TRIM($A27),前提!$C$12:$C$51,$B$3))</f>
        <v>0</v>
      </c>
      <c r="D27" s="24">
        <f>-$B$12*(SUMIFS(前提!$E$12:$E$51,前提!$A$12:$A$51,TRIM($A27),前提!$C$12:$C$51,"共通")+SUMIFS(前提!$E$12:$E$51,前提!$A$12:$A$51,TRIM($A27),前提!$C$12:$C$51,$B$3))</f>
        <v>0</v>
      </c>
      <c r="E27" s="24">
        <f>-$B$12*(SUMIFS(前提!$F$12:$F$51,前提!$A$12:$A$51,TRIM($A27),前提!$C$12:$C$51,"共通")+SUMIFS(前提!$F$12:$F$51,前提!$A$12:$A$51,TRIM($A27),前提!$C$12:$C$51,$B$3))</f>
        <v>0</v>
      </c>
      <c r="F27" s="24">
        <f>-$B$12*(SUMIFS(前提!$G$12:$G$51,前提!$A$12:$A$51,TRIM($A27),前提!$C$12:$C$51,"共通")+SUMIFS(前提!$G$12:$G$51,前提!$A$12:$A$51,TRIM($A27),前提!$C$12:$C$51,$B$3))</f>
        <v>0.0</v>
      </c>
      <c r="G27" s="24">
        <f>-$B$12*(SUMIFS(前提!$H$12:$H$51,前提!$A$12:$A$51,TRIM($A27),前提!$C$12:$C$51,"共通")+SUMIFS(前提!$H$12:$H$51,前提!$A$12:$A$51,TRIM($A27),前提!$C$12:$C$51,$B$3))</f>
        <v>0.0</v>
      </c>
      <c r="H27" s="24">
        <f>-$B$12*(SUMIFS(前提!$I$12:$I$51,前提!$A$12:$A$51,TRIM($A27),前提!$C$12:$C$51,"共通")+SUMIFS(前提!$I$12:$I$51,前提!$A$12:$A$51,TRIM($A27),前提!$C$12:$C$51,$B$3))</f>
        <v>0</v>
      </c>
      <c r="I27" s="24">
        <f>-$B$12*(SUMIFS(前提!$J$12:$J$51,前提!$A$12:$A$51,TRIM($A27),前提!$C$12:$C$51,"共通")+SUMIFS(前提!$J$12:$J$51,前提!$A$12:$A$51,TRIM($A27),前提!$C$12:$C$51,$B$3))</f>
        <v>0</v>
      </c>
      <c r="J27" s="24">
        <f>-$B$12*(SUMIFS(前提!$K$12:$K$51,前提!$A$12:$A$51,TRIM($A27),前提!$C$12:$C$51,"共通")+SUMIFS(前提!$K$12:$K$51,前提!$A$12:$A$51,TRIM($A27),前提!$C$12:$C$51,$B$3))</f>
        <v>0</v>
      </c>
      <c r="K27" s="24">
        <f>-$B$12*(SUMIFS(前提!$L$12:$L$51,前提!$A$12:$A$51,TRIM($A27),前提!$C$12:$C$51,"共通")+SUMIFS(前提!$L$12:$L$51,前提!$A$12:$A$51,TRIM($A27),前提!$C$12:$C$51,$B$3))</f>
        <v>0</v>
      </c>
      <c r="L27" s="24">
        <f>-$B$12*(SUMIFS(前提!$M$12:$M$51,前提!$A$12:$A$51,TRIM($A27),前提!$C$12:$C$51,"共通")+SUMIFS(前提!$M$12:$M$51,前提!$A$12:$A$51,TRIM($A27),前提!$C$12:$C$51,$B$3))</f>
        <v>0</v>
      </c>
      <c r="M27" s="24">
        <f>-$B$12*(SUMIFS(前提!$N$12:$N$51,前提!$A$12:$A$51,TRIM($A27),前提!$C$12:$C$51,"共通")+SUMIFS(前提!$N$12:$N$51,前提!$A$12:$A$51,TRIM($A27),前提!$C$12:$C$51,$B$3))</f>
        <v>0</v>
      </c>
      <c r="N27" s="24">
        <f>-$B$12*(SUMIFS(前提!$O$12:$O$51,前提!$A$12:$A$51,TRIM($A27),前提!$C$12:$C$51,"共通")+SUMIFS(前提!$O$12:$O$51,前提!$A$12:$A$51,TRIM($A27),前提!$C$12:$C$51,$B$3))</f>
        <v>0</v>
      </c>
      <c r="O27" s="24">
        <f>-$B$12*(SUMIFS(前提!$P$12:$P$51,前提!$A$12:$A$51,TRIM($A27),前提!$C$12:$C$51,"共通")+SUMIFS(前提!$P$12:$P$51,前提!$A$12:$A$51,TRIM($A27),前提!$C$12:$C$51,$B$3))</f>
        <v>0</v>
      </c>
      <c r="P27" s="24">
        <f>-$B$12*(SUMIFS(前提!$Q$12:$Q$51,前提!$A$12:$A$51,TRIM($A27),前提!$C$12:$C$51,"共通")+SUMIFS(前提!$Q$12:$Q$51,前提!$A$12:$A$51,TRIM($A27),前提!$C$12:$C$51,$B$3))</f>
        <v>0</v>
      </c>
      <c r="Q27" s="24">
        <f>-$B$12*(SUMIFS(前提!$R$12:$R$51,前提!$A$12:$A$51,TRIM($A27),前提!$C$12:$C$51,"共通")+SUMIFS(前提!$R$12:$R$51,前提!$A$12:$A$51,TRIM($A27),前提!$C$12:$C$51,$B$3))</f>
        <v>0</v>
      </c>
      <c r="R27" s="24">
        <f>-$B$12*(SUMIFS(前提!$S$12:$S$51,前提!$A$12:$A$51,TRIM($A27),前提!$C$12:$C$51,"共通")+SUMIFS(前提!$S$12:$S$51,前提!$A$12:$A$51,TRIM($A27),前提!$C$12:$C$51,$B$3))</f>
        <v>0</v>
      </c>
      <c r="S27" s="24">
        <f>SUM(C27:R27)</f>
        <v>0.0</v>
      </c>
    </row>
    <row r="28">
      <c r="A28" s="6" t="inlineStr">
        <is>
          <t xml:space="preserve">　セレサ</t>
        </is>
      </c>
      <c r="C28" s="24">
        <f>-$B$13*(SUMIFS(前提!$D$12:$D$51,前提!$A$12:$A$51,TRIM($A28),前提!$C$12:$C$51,"共通")+SUMIFS(前提!$D$12:$D$51,前提!$A$12:$A$51,TRIM($A28),前提!$C$12:$C$51,$B$3))</f>
        <v>0</v>
      </c>
      <c r="D28" s="24">
        <f>-$B$13*(SUMIFS(前提!$E$12:$E$51,前提!$A$12:$A$51,TRIM($A28),前提!$C$12:$C$51,"共通")+SUMIFS(前提!$E$12:$E$51,前提!$A$12:$A$51,TRIM($A28),前提!$C$12:$C$51,$B$3))</f>
        <v>0</v>
      </c>
      <c r="E28" s="24">
        <f>-$B$13*(SUMIFS(前提!$F$12:$F$51,前提!$A$12:$A$51,TRIM($A28),前提!$C$12:$C$51,"共通")+SUMIFS(前提!$F$12:$F$51,前提!$A$12:$A$51,TRIM($A28),前提!$C$12:$C$51,$B$3))</f>
        <v>0</v>
      </c>
      <c r="F28" s="24">
        <f>-$B$13*(SUMIFS(前提!$G$12:$G$51,前提!$A$12:$A$51,TRIM($A28),前提!$C$12:$C$51,"共通")+SUMIFS(前提!$G$12:$G$51,前提!$A$12:$A$51,TRIM($A28),前提!$C$12:$C$51,$B$3))</f>
        <v>0</v>
      </c>
      <c r="G28" s="24">
        <f>-$B$13*(SUMIFS(前提!$H$12:$H$51,前提!$A$12:$A$51,TRIM($A28),前提!$C$12:$C$51,"共通")+SUMIFS(前提!$H$12:$H$51,前提!$A$12:$A$51,TRIM($A28),前提!$C$12:$C$51,$B$3))</f>
        <v>0</v>
      </c>
      <c r="H28" s="24">
        <f>-$B$13*(SUMIFS(前提!$I$12:$I$51,前提!$A$12:$A$51,TRIM($A28),前提!$C$12:$C$51,"共通")+SUMIFS(前提!$I$12:$I$51,前提!$A$12:$A$51,TRIM($A28),前提!$C$12:$C$51,$B$3))</f>
        <v>0.0</v>
      </c>
      <c r="I28" s="24">
        <f>-$B$13*(SUMIFS(前提!$J$12:$J$51,前提!$A$12:$A$51,TRIM($A28),前提!$C$12:$C$51,"共通")+SUMIFS(前提!$J$12:$J$51,前提!$A$12:$A$51,TRIM($A28),前提!$C$12:$C$51,$B$3))</f>
        <v>0.0</v>
      </c>
      <c r="J28" s="24">
        <f>-$B$13*(SUMIFS(前提!$K$12:$K$51,前提!$A$12:$A$51,TRIM($A28),前提!$C$12:$C$51,"共通")+SUMIFS(前提!$K$12:$K$51,前提!$A$12:$A$51,TRIM($A28),前提!$C$12:$C$51,$B$3))</f>
        <v>0</v>
      </c>
      <c r="K28" s="24">
        <f>-$B$13*(SUMIFS(前提!$L$12:$L$51,前提!$A$12:$A$51,TRIM($A28),前提!$C$12:$C$51,"共通")+SUMIFS(前提!$L$12:$L$51,前提!$A$12:$A$51,TRIM($A28),前提!$C$12:$C$51,$B$3))</f>
        <v>0</v>
      </c>
      <c r="L28" s="24">
        <f>-$B$13*(SUMIFS(前提!$M$12:$M$51,前提!$A$12:$A$51,TRIM($A28),前提!$C$12:$C$51,"共通")+SUMIFS(前提!$M$12:$M$51,前提!$A$12:$A$51,TRIM($A28),前提!$C$12:$C$51,$B$3))</f>
        <v>0</v>
      </c>
      <c r="M28" s="24">
        <f>-$B$13*(SUMIFS(前提!$N$12:$N$51,前提!$A$12:$A$51,TRIM($A28),前提!$C$12:$C$51,"共通")+SUMIFS(前提!$N$12:$N$51,前提!$A$12:$A$51,TRIM($A28),前提!$C$12:$C$51,$B$3))</f>
        <v>0</v>
      </c>
      <c r="N28" s="24">
        <f>-$B$13*(SUMIFS(前提!$O$12:$O$51,前提!$A$12:$A$51,TRIM($A28),前提!$C$12:$C$51,"共通")+SUMIFS(前提!$O$12:$O$51,前提!$A$12:$A$51,TRIM($A28),前提!$C$12:$C$51,$B$3))</f>
        <v>0</v>
      </c>
      <c r="O28" s="24">
        <f>-$B$13*(SUMIFS(前提!$P$12:$P$51,前提!$A$12:$A$51,TRIM($A28),前提!$C$12:$C$51,"共通")+SUMIFS(前提!$P$12:$P$51,前提!$A$12:$A$51,TRIM($A28),前提!$C$12:$C$51,$B$3))</f>
        <v>0</v>
      </c>
      <c r="P28" s="24">
        <f>-$B$13*(SUMIFS(前提!$Q$12:$Q$51,前提!$A$12:$A$51,TRIM($A28),前提!$C$12:$C$51,"共通")+SUMIFS(前提!$Q$12:$Q$51,前提!$A$12:$A$51,TRIM($A28),前提!$C$12:$C$51,$B$3))</f>
        <v>0</v>
      </c>
      <c r="Q28" s="24">
        <f>-$B$13*(SUMIFS(前提!$R$12:$R$51,前提!$A$12:$A$51,TRIM($A28),前提!$C$12:$C$51,"共通")+SUMIFS(前提!$R$12:$R$51,前提!$A$12:$A$51,TRIM($A28),前提!$C$12:$C$51,$B$3))</f>
        <v>0</v>
      </c>
      <c r="R28" s="24">
        <f>-$B$13*(SUMIFS(前提!$S$12:$S$51,前提!$A$12:$A$51,TRIM($A28),前提!$C$12:$C$51,"共通")+SUMIFS(前提!$S$12:$S$51,前提!$A$12:$A$51,TRIM($A28),前提!$C$12:$C$51,$B$3))</f>
        <v>0</v>
      </c>
      <c r="S28" s="24">
        <f>SUM(C28:R28)</f>
        <v>0.0</v>
      </c>
    </row>
    <row r="29">
      <c r="A29" s="6" t="inlineStr">
        <is>
          <t xml:space="preserve">　シルバーメディカル</t>
        </is>
      </c>
      <c r="C29" s="24">
        <f>-$B$14*(SUMIFS(前提!$D$12:$D$51,前提!$A$12:$A$51,TRIM($A29),前提!$C$12:$C$51,"共通")+SUMIFS(前提!$D$12:$D$51,前提!$A$12:$A$51,TRIM($A29),前提!$C$12:$C$51,$B$3))</f>
        <v>0</v>
      </c>
      <c r="D29" s="24">
        <f>-$B$14*(SUMIFS(前提!$E$12:$E$51,前提!$A$12:$A$51,TRIM($A29),前提!$C$12:$C$51,"共通")+SUMIFS(前提!$E$12:$E$51,前提!$A$12:$A$51,TRIM($A29),前提!$C$12:$C$51,$B$3))</f>
        <v>-1.1</v>
      </c>
      <c r="E29" s="24">
        <f>-$B$14*(SUMIFS(前提!$F$12:$F$51,前提!$A$12:$A$51,TRIM($A29),前提!$C$12:$C$51,"共通")+SUMIFS(前提!$F$12:$F$51,前提!$A$12:$A$51,TRIM($A29),前提!$C$12:$C$51,$B$3))</f>
        <v>-5.0</v>
      </c>
      <c r="F29" s="24">
        <f>-$B$14*(SUMIFS(前提!$G$12:$G$51,前提!$A$12:$A$51,TRIM($A29),前提!$C$12:$C$51,"共通")+SUMIFS(前提!$G$12:$G$51,前提!$A$12:$A$51,TRIM($A29),前提!$C$12:$C$51,$B$3))</f>
        <v>-114.0</v>
      </c>
      <c r="G29" s="24">
        <f>-$B$14*(SUMIFS(前提!$H$12:$H$51,前提!$A$12:$A$51,TRIM($A29),前提!$C$12:$C$51,"共通")+SUMIFS(前提!$H$12:$H$51,前提!$A$12:$A$51,TRIM($A29),前提!$C$12:$C$51,$B$3))</f>
        <v>0</v>
      </c>
      <c r="H29" s="24">
        <f>-$B$14*(SUMIFS(前提!$I$12:$I$51,前提!$A$12:$A$51,TRIM($A29),前提!$C$12:$C$51,"共通")+SUMIFS(前提!$I$12:$I$51,前提!$A$12:$A$51,TRIM($A29),前提!$C$12:$C$51,$B$3))</f>
        <v>0</v>
      </c>
      <c r="I29" s="24">
        <f>-$B$14*(SUMIFS(前提!$J$12:$J$51,前提!$A$12:$A$51,TRIM($A29),前提!$C$12:$C$51,"共通")+SUMIFS(前提!$J$12:$J$51,前提!$A$12:$A$51,TRIM($A29),前提!$C$12:$C$51,$B$3))</f>
        <v>0</v>
      </c>
      <c r="J29" s="24">
        <f>-$B$14*(SUMIFS(前提!$K$12:$K$51,前提!$A$12:$A$51,TRIM($A29),前提!$C$12:$C$51,"共通")+SUMIFS(前提!$K$12:$K$51,前提!$A$12:$A$51,TRIM($A29),前提!$C$12:$C$51,$B$3))</f>
        <v>0</v>
      </c>
      <c r="K29" s="24">
        <f>-$B$14*(SUMIFS(前提!$L$12:$L$51,前提!$A$12:$A$51,TRIM($A29),前提!$C$12:$C$51,"共通")+SUMIFS(前提!$L$12:$L$51,前提!$A$12:$A$51,TRIM($A29),前提!$C$12:$C$51,$B$3))</f>
        <v>0</v>
      </c>
      <c r="L29" s="24">
        <f>-$B$14*(SUMIFS(前提!$M$12:$M$51,前提!$A$12:$A$51,TRIM($A29),前提!$C$12:$C$51,"共通")+SUMIFS(前提!$M$12:$M$51,前提!$A$12:$A$51,TRIM($A29),前提!$C$12:$C$51,$B$3))</f>
        <v>0</v>
      </c>
      <c r="M29" s="24">
        <f>-$B$14*(SUMIFS(前提!$N$12:$N$51,前提!$A$12:$A$51,TRIM($A29),前提!$C$12:$C$51,"共通")+SUMIFS(前提!$N$12:$N$51,前提!$A$12:$A$51,TRIM($A29),前提!$C$12:$C$51,$B$3))</f>
        <v>0</v>
      </c>
      <c r="N29" s="24">
        <f>-$B$14*(SUMIFS(前提!$O$12:$O$51,前提!$A$12:$A$51,TRIM($A29),前提!$C$12:$C$51,"共通")+SUMIFS(前提!$O$12:$O$51,前提!$A$12:$A$51,TRIM($A29),前提!$C$12:$C$51,$B$3))</f>
        <v>0</v>
      </c>
      <c r="O29" s="24">
        <f>-$B$14*(SUMIFS(前提!$P$12:$P$51,前提!$A$12:$A$51,TRIM($A29),前提!$C$12:$C$51,"共通")+SUMIFS(前提!$P$12:$P$51,前提!$A$12:$A$51,TRIM($A29),前提!$C$12:$C$51,$B$3))</f>
        <v>0</v>
      </c>
      <c r="P29" s="24">
        <f>-$B$14*(SUMIFS(前提!$Q$12:$Q$51,前提!$A$12:$A$51,TRIM($A29),前提!$C$12:$C$51,"共通")+SUMIFS(前提!$Q$12:$Q$51,前提!$A$12:$A$51,TRIM($A29),前提!$C$12:$C$51,$B$3))</f>
        <v>0</v>
      </c>
      <c r="Q29" s="24">
        <f>-$B$14*(SUMIFS(前提!$R$12:$R$51,前提!$A$12:$A$51,TRIM($A29),前提!$C$12:$C$51,"共通")+SUMIFS(前提!$R$12:$R$51,前提!$A$12:$A$51,TRIM($A29),前提!$C$12:$C$51,$B$3))</f>
        <v>0</v>
      </c>
      <c r="R29" s="24">
        <f>-$B$14*(SUMIFS(前提!$S$12:$S$51,前提!$A$12:$A$51,TRIM($A29),前提!$C$12:$C$51,"共通")+SUMIFS(前提!$S$12:$S$51,前提!$A$12:$A$51,TRIM($A29),前提!$C$12:$C$51,$B$3))</f>
        <v>0</v>
      </c>
      <c r="S29" s="24">
        <f>SUM(C29:R29)</f>
        <v>-120.1</v>
      </c>
    </row>
    <row r="30">
      <c r="A30" s="4" t="inlineStr">
        <is>
          <t>案件支出 合計</t>
        </is>
      </c>
      <c r="C30" s="21">
        <f>SUM(C21:C29)</f>
        <v>-30.0</v>
      </c>
      <c r="D30" s="21">
        <f>SUM(D21:D29)</f>
        <v>-18.2</v>
      </c>
      <c r="E30" s="21">
        <f>SUM(E21:E29)</f>
        <v>-67.5</v>
      </c>
      <c r="F30" s="21">
        <f>SUM(F21:F29)</f>
        <v>-126.0</v>
      </c>
      <c r="G30" s="21">
        <f>SUM(G21:G29)</f>
        <v>0.0</v>
      </c>
      <c r="H30" s="21">
        <f>SUM(H21:H29)</f>
        <v>0.0</v>
      </c>
      <c r="I30" s="21">
        <f>SUM(I21:I29)</f>
        <v>-12.0</v>
      </c>
      <c r="J30" s="21">
        <f>SUM(J21:J29)</f>
        <v>0</v>
      </c>
      <c r="K30" s="21">
        <f>SUM(K21:K29)</f>
        <v>0</v>
      </c>
      <c r="L30" s="21">
        <f>SUM(L21:L29)</f>
        <v>0</v>
      </c>
      <c r="M30" s="21">
        <f>SUM(M21:M29)</f>
        <v>0</v>
      </c>
      <c r="N30" s="21">
        <f>SUM(N21:N29)</f>
        <v>0</v>
      </c>
      <c r="O30" s="21">
        <f>SUM(O21:O29)</f>
        <v>0</v>
      </c>
      <c r="P30" s="21">
        <f>SUM(P21:P29)</f>
        <v>0</v>
      </c>
      <c r="Q30" s="21">
        <f>SUM(Q21:Q29)</f>
        <v>0</v>
      </c>
      <c r="R30" s="21">
        <f>SUM(R21:R29)</f>
        <v>0</v>
      </c>
      <c r="S30" s="21">
        <f>SUM(C30:R30)</f>
        <v>-253.7</v>
      </c>
    </row>
    <row r="31">
      <c r="A31" s="4" t="inlineStr">
        <is>
          <t>期末現預金</t>
        </is>
      </c>
      <c r="C31" s="22">
        <f>C18+C19+C30</f>
        <v>329.3</v>
      </c>
      <c r="D31" s="22">
        <f>D18+D19+D30</f>
        <v>304.1</v>
      </c>
      <c r="E31" s="22">
        <f>E18+E19+E30</f>
        <v>229.6</v>
      </c>
      <c r="F31" s="22">
        <f>F18+F19+F30</f>
        <v>96.6</v>
      </c>
      <c r="G31" s="22">
        <f>G18+G19+G30</f>
        <v>91.6</v>
      </c>
      <c r="H31" s="22">
        <f>H18+H19+H30</f>
        <v>86.6</v>
      </c>
      <c r="I31" s="22">
        <f>I18+I19+I30</f>
        <v>69.6</v>
      </c>
      <c r="J31" s="22">
        <f>J18+J19+J30</f>
        <v>64.6</v>
      </c>
      <c r="K31" s="22">
        <f>K18+K19+K30</f>
        <v>59.6</v>
      </c>
      <c r="L31" s="22">
        <f>L18+L19+L30</f>
        <v>54.6</v>
      </c>
      <c r="M31" s="22">
        <f>M18+M19+M30</f>
        <v>49.6</v>
      </c>
      <c r="N31" s="22">
        <f>N18+N19+N30</f>
        <v>44.6</v>
      </c>
      <c r="O31" s="22">
        <f>O18+O19+O30</f>
        <v>39.6</v>
      </c>
      <c r="P31" s="22">
        <f>P18+P19+P30</f>
        <v>34.6</v>
      </c>
      <c r="Q31" s="22">
        <f>Q18+Q19+Q30</f>
        <v>29.6</v>
      </c>
      <c r="R31" s="22">
        <f>R18+R19+R30</f>
        <v>24.6</v>
      </c>
      <c r="S31" s="22" t="n"/>
    </row>
    <row r="32">
      <c r="A32" s="6" t="inlineStr">
        <is>
          <t>安全水準との差</t>
        </is>
      </c>
      <c r="C32" s="24">
        <f>C31-前提!$B$4</f>
        <v>229.3</v>
      </c>
      <c r="D32" s="24">
        <f>D31-前提!$B$4</f>
        <v>204.1</v>
      </c>
      <c r="E32" s="24">
        <f>E31-前提!$B$4</f>
        <v>129.6</v>
      </c>
      <c r="F32" s="24">
        <f>F31-前提!$B$4</f>
        <v>-3.4</v>
      </c>
      <c r="G32" s="24">
        <f>G31-前提!$B$4</f>
        <v>-8.4</v>
      </c>
      <c r="H32" s="24">
        <f>H31-前提!$B$4</f>
        <v>-13.4</v>
      </c>
      <c r="I32" s="24">
        <f>I31-前提!$B$4</f>
        <v>-30.4</v>
      </c>
      <c r="J32" s="24">
        <f>J31-前提!$B$4</f>
        <v>-35.4</v>
      </c>
      <c r="K32" s="24">
        <f>K31-前提!$B$4</f>
        <v>-40.4</v>
      </c>
      <c r="L32" s="24">
        <f>L31-前提!$B$4</f>
        <v>-45.4</v>
      </c>
      <c r="M32" s="24">
        <f>M31-前提!$B$4</f>
        <v>-50.4</v>
      </c>
      <c r="N32" s="24">
        <f>N31-前提!$B$4</f>
        <v>-55.4</v>
      </c>
      <c r="O32" s="24">
        <f>O31-前提!$B$4</f>
        <v>-60.4</v>
      </c>
      <c r="P32" s="24">
        <f>P31-前提!$B$4</f>
        <v>-65.4</v>
      </c>
      <c r="Q32" s="24">
        <f>Q31-前提!$B$4</f>
        <v>-70.4</v>
      </c>
      <c r="R32" s="24">
        <f>R31-前提!$B$4</f>
        <v>-75.4</v>
      </c>
      <c r="S32" s="24" t="n"/>
    </row>
    <row r="33">
      <c r="A33" s="4" t="inlineStr">
        <is>
          <t>必要調達額（安全水準を維持するための不足額）</t>
        </is>
      </c>
      <c r="C33" s="25">
        <f>MAX(0,前提!$B$4-C31)</f>
        <v>0</v>
      </c>
      <c r="D33" s="25">
        <f>MAX(0,前提!$B$4-D31)</f>
        <v>0</v>
      </c>
      <c r="E33" s="25">
        <f>MAX(0,前提!$B$4-E31)</f>
        <v>0</v>
      </c>
      <c r="F33" s="25">
        <f>MAX(0,前提!$B$4-F31)</f>
        <v>3.4</v>
      </c>
      <c r="G33" s="25">
        <f>MAX(0,前提!$B$4-G31)</f>
        <v>8.4</v>
      </c>
      <c r="H33" s="25">
        <f>MAX(0,前提!$B$4-H31)</f>
        <v>13.4</v>
      </c>
      <c r="I33" s="25">
        <f>MAX(0,前提!$B$4-I31)</f>
        <v>30.4</v>
      </c>
      <c r="J33" s="25">
        <f>MAX(0,前提!$B$4-J31)</f>
        <v>35.4</v>
      </c>
      <c r="K33" s="25">
        <f>MAX(0,前提!$B$4-K31)</f>
        <v>40.4</v>
      </c>
      <c r="L33" s="25">
        <f>MAX(0,前提!$B$4-L31)</f>
        <v>45.4</v>
      </c>
      <c r="M33" s="25">
        <f>MAX(0,前提!$B$4-M31)</f>
        <v>50.4</v>
      </c>
      <c r="N33" s="25">
        <f>MAX(0,前提!$B$4-N31)</f>
        <v>55.4</v>
      </c>
      <c r="O33" s="25">
        <f>MAX(0,前提!$B$4-O31)</f>
        <v>60.4</v>
      </c>
      <c r="P33" s="25">
        <f>MAX(0,前提!$B$4-P31)</f>
        <v>65.4</v>
      </c>
      <c r="Q33" s="25">
        <f>MAX(0,前提!$B$4-Q31)</f>
        <v>70.4</v>
      </c>
      <c r="R33" s="25">
        <f>MAX(0,前提!$B$4-R31)</f>
        <v>75.4</v>
      </c>
      <c r="S33" s="25" t="n"/>
    </row>
    <row r="34">
      <c r="A34" s="6" t="inlineStr">
        <is>
          <t>累計案件支出</t>
        </is>
      </c>
      <c r="C34" s="24">
        <f>-SUM($C30:C30)</f>
        <v>30.0</v>
      </c>
      <c r="D34" s="24">
        <f>-SUM($C30:D30)</f>
        <v>48.2</v>
      </c>
      <c r="E34" s="24">
        <f>-SUM($C30:E30)</f>
        <v>115.7</v>
      </c>
      <c r="F34" s="24">
        <f>-SUM($C30:F30)</f>
        <v>241.7</v>
      </c>
      <c r="G34" s="24">
        <f>-SUM($C30:G30)</f>
        <v>241.7</v>
      </c>
      <c r="H34" s="24">
        <f>-SUM($C30:H30)</f>
        <v>241.7</v>
      </c>
      <c r="I34" s="24">
        <f>-SUM($C30:I30)</f>
        <v>253.7</v>
      </c>
      <c r="J34" s="24">
        <f>-SUM($C30:J30)</f>
        <v>253.7</v>
      </c>
      <c r="K34" s="24">
        <f>-SUM($C30:K30)</f>
        <v>253.7</v>
      </c>
      <c r="L34" s="24">
        <f>-SUM($C30:L30)</f>
        <v>253.7</v>
      </c>
      <c r="M34" s="24">
        <f>-SUM($C30:M30)</f>
        <v>253.7</v>
      </c>
      <c r="N34" s="24">
        <f>-SUM($C30:N30)</f>
        <v>253.7</v>
      </c>
      <c r="O34" s="24">
        <f>-SUM($C30:O30)</f>
        <v>253.7</v>
      </c>
      <c r="P34" s="24">
        <f>-SUM($C30:P30)</f>
        <v>253.7</v>
      </c>
      <c r="Q34" s="24">
        <f>-SUM($C30:Q30)</f>
        <v>253.7</v>
      </c>
      <c r="R34" s="24">
        <f>-SUM($C30:R30)</f>
        <v>253.7</v>
      </c>
      <c r="S34" s="24" t="n"/>
    </row>
    <row r="35">
      <c r="A35" s="6" t="inlineStr">
        <is>
          <t>安全水準割込み（1＝割込）</t>
        </is>
      </c>
      <c r="C35" s="24">
        <f>IF(C31&lt;前提!$B$4,1,0)</f>
        <v>0</v>
      </c>
      <c r="D35" s="24">
        <f>IF(D31&lt;前提!$B$4,1,0)</f>
        <v>0</v>
      </c>
      <c r="E35" s="24">
        <f>IF(E31&lt;前提!$B$4,1,0)</f>
        <v>0</v>
      </c>
      <c r="F35" s="24">
        <f>IF(F31&lt;前提!$B$4,1,0)</f>
        <v>1</v>
      </c>
      <c r="G35" s="24">
        <f>IF(G31&lt;前提!$B$4,1,0)</f>
        <v>1</v>
      </c>
      <c r="H35" s="24">
        <f>IF(H31&lt;前提!$B$4,1,0)</f>
        <v>1</v>
      </c>
      <c r="I35" s="24">
        <f>IF(I31&lt;前提!$B$4,1,0)</f>
        <v>1</v>
      </c>
      <c r="J35" s="24">
        <f>IF(J31&lt;前提!$B$4,1,0)</f>
        <v>1</v>
      </c>
      <c r="K35" s="24">
        <f>IF(K31&lt;前提!$B$4,1,0)</f>
        <v>1</v>
      </c>
      <c r="L35" s="24">
        <f>IF(L31&lt;前提!$B$4,1,0)</f>
        <v>1</v>
      </c>
      <c r="M35" s="24">
        <f>IF(M31&lt;前提!$B$4,1,0)</f>
        <v>1</v>
      </c>
      <c r="N35" s="24">
        <f>IF(N31&lt;前提!$B$4,1,0)</f>
        <v>1</v>
      </c>
      <c r="O35" s="24">
        <f>IF(O31&lt;前提!$B$4,1,0)</f>
        <v>1</v>
      </c>
      <c r="P35" s="24">
        <f>IF(P31&lt;前提!$B$4,1,0)</f>
        <v>1</v>
      </c>
      <c r="Q35" s="24">
        <f>IF(Q31&lt;前提!$B$4,1,0)</f>
        <v>1</v>
      </c>
      <c r="R35" s="24">
        <f>IF(R31&lt;前提!$B$4,1,0)</f>
        <v>1</v>
      </c>
      <c r="S35" s="24" t="n"/>
    </row>
    <row r="37">
      <c r="A37" s="4" t="inlineStr">
        <is>
          <t>Net Debt Capacity（連結・調達前）</t>
        </is>
      </c>
    </row>
    <row r="38">
      <c r="A38" s="6" t="inlineStr">
        <is>
          <t xml:space="preserve">　売掛金（既存＋クロージング後の案件）</t>
        </is>
      </c>
      <c r="C38" s="24">
        <f>前提!$B$60+SUMPRODUCT($B$6:$B$14,案件一覧!$N$4:$N$12,--(案件一覧!$M$4:$M$12&lt;=1))</f>
        <v>192.0</v>
      </c>
      <c r="D38" s="24">
        <f>前提!$B$60+SUMPRODUCT($B$6:$B$14,案件一覧!$N$4:$N$12,--(案件一覧!$M$4:$M$12&lt;=2))</f>
        <v>192.0</v>
      </c>
      <c r="E38" s="24">
        <f>前提!$B$60+SUMPRODUCT($B$6:$B$14,案件一覧!$N$4:$N$12,--(案件一覧!$M$4:$M$12&lt;=3))</f>
        <v>233.0</v>
      </c>
      <c r="F38" s="24">
        <f>前提!$B$60+SUMPRODUCT($B$6:$B$14,案件一覧!$N$4:$N$12,--(案件一覧!$M$4:$M$12&lt;=4))</f>
        <v>393.0</v>
      </c>
      <c r="G38" s="24">
        <f>前提!$B$60+SUMPRODUCT($B$6:$B$14,案件一覧!$N$4:$N$12,--(案件一覧!$M$4:$M$12&lt;=5))</f>
        <v>393.0</v>
      </c>
      <c r="H38" s="24">
        <f>前提!$B$60+SUMPRODUCT($B$6:$B$14,案件一覧!$N$4:$N$12,--(案件一覧!$M$4:$M$12&lt;=6))</f>
        <v>393.0</v>
      </c>
      <c r="I38" s="24">
        <f>前提!$B$60+SUMPRODUCT($B$6:$B$14,案件一覧!$N$4:$N$12,--(案件一覧!$M$4:$M$12&lt;=7))</f>
        <v>393.0</v>
      </c>
      <c r="J38" s="24">
        <f>前提!$B$60+SUMPRODUCT($B$6:$B$14,案件一覧!$N$4:$N$12,--(案件一覧!$M$4:$M$12&lt;=8))</f>
        <v>393.0</v>
      </c>
      <c r="K38" s="24">
        <f>前提!$B$60+SUMPRODUCT($B$6:$B$14,案件一覧!$N$4:$N$12,--(案件一覧!$M$4:$M$12&lt;=9))</f>
        <v>393.0</v>
      </c>
      <c r="L38" s="24">
        <f>前提!$B$60+SUMPRODUCT($B$6:$B$14,案件一覧!$N$4:$N$12,--(案件一覧!$M$4:$M$12&lt;=10))</f>
        <v>393.0</v>
      </c>
      <c r="M38" s="24">
        <f>前提!$B$60+SUMPRODUCT($B$6:$B$14,案件一覧!$N$4:$N$12,--(案件一覧!$M$4:$M$12&lt;=11))</f>
        <v>393.0</v>
      </c>
      <c r="N38" s="24">
        <f>前提!$B$60+SUMPRODUCT($B$6:$B$14,案件一覧!$N$4:$N$12,--(案件一覧!$M$4:$M$12&lt;=12))</f>
        <v>393.0</v>
      </c>
      <c r="O38" s="24">
        <f>前提!$B$60+SUMPRODUCT($B$6:$B$14,案件一覧!$N$4:$N$12,--(案件一覧!$M$4:$M$12&lt;=13))</f>
        <v>393.0</v>
      </c>
      <c r="P38" s="24">
        <f>前提!$B$60+SUMPRODUCT($B$6:$B$14,案件一覧!$N$4:$N$12,--(案件一覧!$M$4:$M$12&lt;=14))</f>
        <v>393.0</v>
      </c>
      <c r="Q38" s="24">
        <f>前提!$B$60+SUMPRODUCT($B$6:$B$14,案件一覧!$N$4:$N$12,--(案件一覧!$M$4:$M$12&lt;=15))</f>
        <v>393.0</v>
      </c>
      <c r="R38" s="24">
        <f>前提!$B$60+SUMPRODUCT($B$6:$B$14,案件一覧!$N$4:$N$12,--(案件一覧!$M$4:$M$12&lt;=16))</f>
        <v>393.0</v>
      </c>
      <c r="S38" s="24" t="n"/>
    </row>
    <row r="39">
      <c r="A39" s="6" t="inlineStr">
        <is>
          <t xml:space="preserve">　現預金（HD＋HT＋案件の残置現金）</t>
        </is>
      </c>
      <c r="C39" s="24">
        <f>C31+前提!D$57+SUMPRODUCT($B$6:$B$14,案件一覧!$O$4:$O$12,--(案件一覧!$M$4:$M$12&lt;=1))</f>
        <v>405.3</v>
      </c>
      <c r="D39" s="24">
        <f>D31+前提!E$57+SUMPRODUCT($B$6:$B$14,案件一覧!$O$4:$O$12,--(案件一覧!$M$4:$M$12&lt;=2))</f>
        <v>380.1</v>
      </c>
      <c r="E39" s="24">
        <f>E31+前提!F$57+SUMPRODUCT($B$6:$B$14,案件一覧!$O$4:$O$12,--(案件一覧!$M$4:$M$12&lt;=3))</f>
        <v>333.6</v>
      </c>
      <c r="F39" s="24">
        <f>F31+前提!G$57+SUMPRODUCT($B$6:$B$14,案件一覧!$O$4:$O$12,--(案件一覧!$M$4:$M$12&lt;=4))</f>
        <v>230.6</v>
      </c>
      <c r="G39" s="24">
        <f>G31+前提!H$57+SUMPRODUCT($B$6:$B$14,案件一覧!$O$4:$O$12,--(案件一覧!$M$4:$M$12&lt;=5))</f>
        <v>229.6</v>
      </c>
      <c r="H39" s="24">
        <f>H31+前提!I$57+SUMPRODUCT($B$6:$B$14,案件一覧!$O$4:$O$12,--(案件一覧!$M$4:$M$12&lt;=6))</f>
        <v>224.6</v>
      </c>
      <c r="I39" s="24">
        <f>I31+前提!J$57+SUMPRODUCT($B$6:$B$14,案件一覧!$O$4:$O$12,--(案件一覧!$M$4:$M$12&lt;=7))</f>
        <v>207.6</v>
      </c>
      <c r="J39" s="24">
        <f>J31+前提!K$57+SUMPRODUCT($B$6:$B$14,案件一覧!$O$4:$O$12,--(案件一覧!$M$4:$M$12&lt;=8))</f>
        <v>202.6</v>
      </c>
      <c r="K39" s="24">
        <f>K31+前提!L$57+SUMPRODUCT($B$6:$B$14,案件一覧!$O$4:$O$12,--(案件一覧!$M$4:$M$12&lt;=9))</f>
        <v>197.6</v>
      </c>
      <c r="L39" s="24">
        <f>L31+前提!M$57+SUMPRODUCT($B$6:$B$14,案件一覧!$O$4:$O$12,--(案件一覧!$M$4:$M$12&lt;=10))</f>
        <v>192.6</v>
      </c>
      <c r="M39" s="24">
        <f>M31+前提!N$57+SUMPRODUCT($B$6:$B$14,案件一覧!$O$4:$O$12,--(案件一覧!$M$4:$M$12&lt;=11))</f>
        <v>187.6</v>
      </c>
      <c r="N39" s="24">
        <f>N31+前提!O$57+SUMPRODUCT($B$6:$B$14,案件一覧!$O$4:$O$12,--(案件一覧!$M$4:$M$12&lt;=12))</f>
        <v>182.6</v>
      </c>
      <c r="O39" s="24">
        <f>O31+前提!P$57+SUMPRODUCT($B$6:$B$14,案件一覧!$O$4:$O$12,--(案件一覧!$M$4:$M$12&lt;=13))</f>
        <v>177.6</v>
      </c>
      <c r="P39" s="24">
        <f>P31+前提!Q$57+SUMPRODUCT($B$6:$B$14,案件一覧!$O$4:$O$12,--(案件一覧!$M$4:$M$12&lt;=14))</f>
        <v>172.6</v>
      </c>
      <c r="Q39" s="24">
        <f>Q31+前提!R$57+SUMPRODUCT($B$6:$B$14,案件一覧!$O$4:$O$12,--(案件一覧!$M$4:$M$12&lt;=15))</f>
        <v>167.6</v>
      </c>
      <c r="R39" s="24">
        <f>R31+前提!S$57+SUMPRODUCT($B$6:$B$14,案件一覧!$O$4:$O$12,--(案件一覧!$M$4:$M$12&lt;=16))</f>
        <v>162.6</v>
      </c>
      <c r="S39" s="24" t="n"/>
    </row>
    <row r="40">
      <c r="A40" s="6" t="inlineStr">
        <is>
          <t xml:space="preserve">　調整後EBITDA年換算（オーガニック＋案件現状値）</t>
        </is>
      </c>
      <c r="C40" s="24">
        <f>前提!D$56+SUMPRODUCT($B$6:$B$14,案件一覧!$E$4:$E$12,--(案件一覧!$M$4:$M$12&lt;=1))</f>
        <v>32</v>
      </c>
      <c r="D40" s="24">
        <f>前提!E$56+SUMPRODUCT($B$6:$B$14,案件一覧!$E$4:$E$12,--(案件一覧!$M$4:$M$12&lt;=2))</f>
        <v>34</v>
      </c>
      <c r="E40" s="24">
        <f>前提!F$56+SUMPRODUCT($B$6:$B$14,案件一覧!$E$4:$E$12,--(案件一覧!$M$4:$M$12&lt;=3))</f>
        <v>75</v>
      </c>
      <c r="F40" s="24">
        <f>前提!G$56+SUMPRODUCT($B$6:$B$14,案件一覧!$E$4:$E$12,--(案件一覧!$M$4:$M$12&lt;=4))</f>
        <v>62</v>
      </c>
      <c r="G40" s="24">
        <f>前提!H$56+SUMPRODUCT($B$6:$B$14,案件一覧!$E$4:$E$12,--(案件一覧!$M$4:$M$12&lt;=5))</f>
        <v>83</v>
      </c>
      <c r="H40" s="24">
        <f>前提!I$56+SUMPRODUCT($B$6:$B$14,案件一覧!$E$4:$E$12,--(案件一覧!$M$4:$M$12&lt;=6))</f>
        <v>83</v>
      </c>
      <c r="I40" s="24">
        <f>前提!J$56+SUMPRODUCT($B$6:$B$14,案件一覧!$E$4:$E$12,--(案件一覧!$M$4:$M$12&lt;=7))</f>
        <v>83</v>
      </c>
      <c r="J40" s="24">
        <f>前提!K$56+SUMPRODUCT($B$6:$B$14,案件一覧!$E$4:$E$12,--(案件一覧!$M$4:$M$12&lt;=8))</f>
        <v>83</v>
      </c>
      <c r="K40" s="24">
        <f>前提!L$56+SUMPRODUCT($B$6:$B$14,案件一覧!$E$4:$E$12,--(案件一覧!$M$4:$M$12&lt;=9))</f>
        <v>83</v>
      </c>
      <c r="L40" s="24">
        <f>前提!M$56+SUMPRODUCT($B$6:$B$14,案件一覧!$E$4:$E$12,--(案件一覧!$M$4:$M$12&lt;=10))</f>
        <v>83</v>
      </c>
      <c r="M40" s="24">
        <f>前提!N$56+SUMPRODUCT($B$6:$B$14,案件一覧!$E$4:$E$12,--(案件一覧!$M$4:$M$12&lt;=11))</f>
        <v>83</v>
      </c>
      <c r="N40" s="24">
        <f>前提!O$56+SUMPRODUCT($B$6:$B$14,案件一覧!$E$4:$E$12,--(案件一覧!$M$4:$M$12&lt;=12))</f>
        <v>83</v>
      </c>
      <c r="O40" s="24">
        <f>前提!P$56+SUMPRODUCT($B$6:$B$14,案件一覧!$E$4:$E$12,--(案件一覧!$M$4:$M$12&lt;=13))</f>
        <v>83</v>
      </c>
      <c r="P40" s="24">
        <f>前提!Q$56+SUMPRODUCT($B$6:$B$14,案件一覧!$E$4:$E$12,--(案件一覧!$M$4:$M$12&lt;=14))</f>
        <v>83</v>
      </c>
      <c r="Q40" s="24">
        <f>前提!R$56+SUMPRODUCT($B$6:$B$14,案件一覧!$E$4:$E$12,--(案件一覧!$M$4:$M$12&lt;=15))</f>
        <v>83</v>
      </c>
      <c r="R40" s="24">
        <f>前提!S$56+SUMPRODUCT($B$6:$B$14,案件一覧!$E$4:$E$12,--(案件一覧!$M$4:$M$12&lt;=16))</f>
        <v>83</v>
      </c>
      <c r="S40" s="24" t="n"/>
    </row>
    <row r="41">
      <c r="A41" s="6" t="inlineStr">
        <is>
          <t xml:space="preserve">　有利子負債（既存＋承継＋対象会社借入・最小化時）</t>
        </is>
      </c>
      <c r="C41" s="24">
        <f>前提!D$58+SUMPRODUCT($B$6:$B$14,案件一覧!$G$4:$G$12,--(案件一覧!$M$4:$M$12&lt;=1))+IF($B$3="最小化",SUMPRODUCT($B$6:$B$14,案件一覧!$P$4:$P$12,--(案件一覧!$Q$4:$Q$12&lt;=1)),0)</f>
        <v>410.0</v>
      </c>
      <c r="D41" s="24">
        <f>前提!E$58+SUMPRODUCT($B$6:$B$14,案件一覧!$G$4:$G$12,--(案件一覧!$M$4:$M$12&lt;=2))+IF($B$3="最小化",SUMPRODUCT($B$6:$B$14,案件一覧!$P$4:$P$12,--(案件一覧!$Q$4:$Q$12&lt;=2)),0)</f>
        <v>405.2</v>
      </c>
      <c r="E41" s="24">
        <f>前提!F$58+SUMPRODUCT($B$6:$B$14,案件一覧!$G$4:$G$12,--(案件一覧!$M$4:$M$12&lt;=3))+IF($B$3="最小化",SUMPRODUCT($B$6:$B$14,案件一覧!$P$4:$P$12,--(案件一覧!$Q$4:$Q$12&lt;=3)),0)</f>
        <v>445.2</v>
      </c>
      <c r="F41" s="24">
        <f>前提!G$58+SUMPRODUCT($B$6:$B$14,案件一覧!$G$4:$G$12,--(案件一覧!$M$4:$M$12&lt;=4))+IF($B$3="最小化",SUMPRODUCT($B$6:$B$14,案件一覧!$P$4:$P$12,--(案件一覧!$Q$4:$Q$12&lt;=4)),0)</f>
        <v>523.4</v>
      </c>
      <c r="G41" s="24">
        <f>前提!H$58+SUMPRODUCT($B$6:$B$14,案件一覧!$G$4:$G$12,--(案件一覧!$M$4:$M$12&lt;=5))+IF($B$3="最小化",SUMPRODUCT($B$6:$B$14,案件一覧!$P$4:$P$12,--(案件一覧!$Q$4:$Q$12&lt;=5)),0)</f>
        <v>518.5</v>
      </c>
      <c r="H41" s="24">
        <f>前提!I$58+SUMPRODUCT($B$6:$B$14,案件一覧!$G$4:$G$12,--(案件一覧!$M$4:$M$12&lt;=6))+IF($B$3="最小化",SUMPRODUCT($B$6:$B$14,案件一覧!$P$4:$P$12,--(案件一覧!$Q$4:$Q$12&lt;=6)),0)</f>
        <v>513.6</v>
      </c>
      <c r="I41" s="24">
        <f>前提!J$58+SUMPRODUCT($B$6:$B$14,案件一覧!$G$4:$G$12,--(案件一覧!$M$4:$M$12&lt;=7))+IF($B$3="最小化",SUMPRODUCT($B$6:$B$14,案件一覧!$P$4:$P$12,--(案件一覧!$Q$4:$Q$12&lt;=7)),0)</f>
        <v>508.8</v>
      </c>
      <c r="J41" s="24">
        <f>前提!K$58+SUMPRODUCT($B$6:$B$14,案件一覧!$G$4:$G$12,--(案件一覧!$M$4:$M$12&lt;=8))+IF($B$3="最小化",SUMPRODUCT($B$6:$B$14,案件一覧!$P$4:$P$12,--(案件一覧!$Q$4:$Q$12&lt;=8)),0)</f>
        <v>503.9</v>
      </c>
      <c r="K41" s="24">
        <f>前提!L$58+SUMPRODUCT($B$6:$B$14,案件一覧!$G$4:$G$12,--(案件一覧!$M$4:$M$12&lt;=9))+IF($B$3="最小化",SUMPRODUCT($B$6:$B$14,案件一覧!$P$4:$P$12,--(案件一覧!$Q$4:$Q$12&lt;=9)),0)</f>
        <v>549.1</v>
      </c>
      <c r="L41" s="24">
        <f>前提!M$58+SUMPRODUCT($B$6:$B$14,案件一覧!$G$4:$G$12,--(案件一覧!$M$4:$M$12&lt;=10))+IF($B$3="最小化",SUMPRODUCT($B$6:$B$14,案件一覧!$P$4:$P$12,--(案件一覧!$Q$4:$Q$12&lt;=10)),0)</f>
        <v>544.2</v>
      </c>
      <c r="M41" s="24">
        <f>前提!N$58+SUMPRODUCT($B$6:$B$14,案件一覧!$G$4:$G$12,--(案件一覧!$M$4:$M$12&lt;=11))+IF($B$3="最小化",SUMPRODUCT($B$6:$B$14,案件一覧!$P$4:$P$12,--(案件一覧!$Q$4:$Q$12&lt;=11)),0)</f>
        <v>539.4</v>
      </c>
      <c r="N41" s="24">
        <f>前提!O$58+SUMPRODUCT($B$6:$B$14,案件一覧!$G$4:$G$12,--(案件一覧!$M$4:$M$12&lt;=12))+IF($B$3="最小化",SUMPRODUCT($B$6:$B$14,案件一覧!$P$4:$P$12,--(案件一覧!$Q$4:$Q$12&lt;=12)),0)</f>
        <v>534.5</v>
      </c>
      <c r="O41" s="24">
        <f>前提!P$58+SUMPRODUCT($B$6:$B$14,案件一覧!$G$4:$G$12,--(案件一覧!$M$4:$M$12&lt;=13))+IF($B$3="最小化",SUMPRODUCT($B$6:$B$14,案件一覧!$P$4:$P$12,--(案件一覧!$Q$4:$Q$12&lt;=13)),0)</f>
        <v>529.7</v>
      </c>
      <c r="P41" s="24">
        <f>前提!Q$58+SUMPRODUCT($B$6:$B$14,案件一覧!$G$4:$G$12,--(案件一覧!$M$4:$M$12&lt;=14))+IF($B$3="最小化",SUMPRODUCT($B$6:$B$14,案件一覧!$P$4:$P$12,--(案件一覧!$Q$4:$Q$12&lt;=14)),0)</f>
        <v>524.9</v>
      </c>
      <c r="Q41" s="24">
        <f>前提!R$58+SUMPRODUCT($B$6:$B$14,案件一覧!$G$4:$G$12,--(案件一覧!$M$4:$M$12&lt;=15))+IF($B$3="最小化",SUMPRODUCT($B$6:$B$14,案件一覧!$P$4:$P$12,--(案件一覧!$Q$4:$Q$12&lt;=15)),0)</f>
        <v>520.0</v>
      </c>
      <c r="R41" s="24">
        <f>前提!S$58+SUMPRODUCT($B$6:$B$14,案件一覧!$G$4:$G$12,--(案件一覧!$M$4:$M$12&lt;=16))+IF($B$3="最小化",SUMPRODUCT($B$6:$B$14,案件一覧!$P$4:$P$12,--(案件一覧!$Q$4:$Q$12&lt;=16)),0)</f>
        <v>515.1</v>
      </c>
      <c r="S41" s="24" t="n"/>
    </row>
    <row r="42">
      <c r="A42" s="4" t="inlineStr">
        <is>
          <t>Net Debt Capacity ＝ EBITDA×4＋売掛金＋現預金−有利子負債</t>
        </is>
      </c>
      <c r="C42" s="26">
        <f>C40*4+C38+C39-C41</f>
        <v>315.2</v>
      </c>
      <c r="D42" s="26">
        <f>D40*4+D38+D39-D41</f>
        <v>302.9</v>
      </c>
      <c r="E42" s="26">
        <f>E40*4+E38+E39-E41</f>
        <v>421.4</v>
      </c>
      <c r="F42" s="26">
        <f>F40*4+F38+F39-F41</f>
        <v>348.2</v>
      </c>
      <c r="G42" s="26">
        <f>G40*4+G38+G39-G41</f>
        <v>436.1</v>
      </c>
      <c r="H42" s="26">
        <f>H40*4+H38+H39-H41</f>
        <v>436.0</v>
      </c>
      <c r="I42" s="26">
        <f>I40*4+I38+I39-I41</f>
        <v>423.8</v>
      </c>
      <c r="J42" s="26">
        <f>J40*4+J38+J39-J41</f>
        <v>423.7</v>
      </c>
      <c r="K42" s="26">
        <f>K40*4+K38+K39-K41</f>
        <v>373.5</v>
      </c>
      <c r="L42" s="26">
        <f>L40*4+L38+L39-L41</f>
        <v>373.4</v>
      </c>
      <c r="M42" s="26">
        <f>M40*4+M38+M39-M41</f>
        <v>373.2</v>
      </c>
      <c r="N42" s="26">
        <f>N40*4+N38+N39-N41</f>
        <v>373.1</v>
      </c>
      <c r="O42" s="26">
        <f>O40*4+O38+O39-O41</f>
        <v>372.9</v>
      </c>
      <c r="P42" s="26">
        <f>P40*4+P38+P39-P41</f>
        <v>372.8</v>
      </c>
      <c r="Q42" s="26">
        <f>Q40*4+Q38+Q39-Q41</f>
        <v>372.6</v>
      </c>
      <c r="R42" s="26">
        <f>R40*4+R38+R39-R41</f>
        <v>372.5</v>
      </c>
      <c r="S42" s="26" t="n"/>
    </row>
    <row r="45">
      <c r="A45" s="4" t="inlineStr">
        <is>
          <t>サマリー指標</t>
        </is>
      </c>
    </row>
    <row r="46">
      <c r="A46" s="6" t="inlineStr">
        <is>
          <t>総支出（案件・16ヶ月）</t>
        </is>
      </c>
      <c r="B46" s="21">
        <f>-S30</f>
        <v>253.7</v>
      </c>
    </row>
    <row r="47">
      <c r="A47" s="6" t="inlineStr">
        <is>
          <t>最低残高</t>
        </is>
      </c>
      <c r="B47" s="21">
        <f>MIN(C31:R31)</f>
        <v>24.6</v>
      </c>
    </row>
    <row r="48">
      <c r="A48" s="6" t="inlineStr">
        <is>
          <t>最低残高の月</t>
        </is>
      </c>
      <c r="B48" s="4" t="str">
        <f>INDEX($C$17:$R$17,MATCH(B47,C31:R31,0))</f>
        <v>2027/12</v>
      </c>
    </row>
    <row r="49">
      <c r="A49" s="6" t="inlineStr">
        <is>
          <t>初めて安全水準を割る月</t>
        </is>
      </c>
      <c r="B49" s="4" t="str">
        <f>IFERROR(INDEX($C$17:$R$17,MATCH(1,C35:R35,0)),"—")</f>
        <v>2026/12</v>
      </c>
    </row>
    <row r="50">
      <c r="A50" s="6" t="inlineStr">
        <is>
          <t>必要調達額（2027/12まで）</t>
        </is>
      </c>
      <c r="B50" s="21">
        <f>MAX(C33:R33)</f>
        <v>75.4</v>
      </c>
    </row>
    <row r="51">
      <c r="A51" s="6" t="inlineStr">
        <is>
          <t>2026/11までの不足</t>
        </is>
      </c>
      <c r="B51" s="21">
        <f>E33</f>
        <v>0</v>
      </c>
    </row>
    <row r="52">
      <c r="A52" s="6" t="inlineStr">
        <is>
          <t>2027/1までの不足</t>
        </is>
      </c>
      <c r="B52" s="21">
        <f>G33</f>
        <v>8.4</v>
      </c>
    </row>
    <row r="53">
      <c r="A53" s="6" t="inlineStr">
        <is>
          <t>2027/3までの不足</t>
        </is>
      </c>
      <c r="B53" s="21">
        <f>I33</f>
        <v>30.4</v>
      </c>
    </row>
    <row r="54">
      <c r="A54" s="6" t="inlineStr">
        <is>
          <t>2027/12 期末現預金</t>
        </is>
      </c>
      <c r="B54" s="21">
        <f>R31</f>
        <v>24.6</v>
      </c>
    </row>
    <row r="55">
      <c r="A55" s="6" t="inlineStr">
        <is>
          <t>年換算売上（オーガニック＋実行案件）</t>
        </is>
      </c>
      <c r="B55" s="27">
        <f>前提!$B$5+SUMPRODUCT($B$6:$B$14,案件一覧!$D$4:$D$12)</f>
        <v>2435</v>
      </c>
    </row>
    <row r="56">
      <c r="A56" s="6" t="inlineStr">
        <is>
          <t>年換算 調整後EBITDA（現状）</t>
        </is>
      </c>
      <c r="B56" s="27">
        <f>前提!$B$6+SUMPRODUCT($B$6:$B$14,案件一覧!$E$4:$E$12)</f>
        <v>83</v>
      </c>
    </row>
    <row r="57">
      <c r="A57" s="6" t="inlineStr">
        <is>
          <t>年換算 調整後EBITDA（改善後）</t>
        </is>
      </c>
      <c r="B57" s="27">
        <f>前提!$B$6+SUMPRODUCT($B$6:$B$14,案件一覧!$F$4:$F$12)</f>
        <v>140</v>
      </c>
    </row>
    <row r="58">
      <c r="A58" s="6" t="inlineStr">
        <is>
          <t>承継・残置負債</t>
        </is>
      </c>
      <c r="B58" s="21">
        <f>SUMPRODUCT($B$6:$B$14,案件一覧!$G$4:$G$12)</f>
        <v>127.85</v>
      </c>
    </row>
    <row r="59">
      <c r="A59" s="6" t="inlineStr">
        <is>
          <t>Net Debt Capacity 2026/12</t>
        </is>
      </c>
      <c r="B59" s="21">
        <f>F42</f>
        <v>348.2</v>
      </c>
    </row>
    <row r="60">
      <c r="A60" s="6" t="inlineStr">
        <is>
          <t>Net Debt Capacity 2027/12</t>
        </is>
      </c>
      <c r="B60" s="21">
        <f>R42</f>
        <v>372.5</v>
      </c>
    </row>
    <row r="61">
      <c r="A61" s="6" t="inlineStr">
        <is>
          <t>2027/12 有利子負債（調達前）</t>
        </is>
      </c>
      <c r="B61" s="21">
        <f>R41</f>
        <v>515.1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1"/>
  <sheetViews>
    <sheetView workbookViewId="0">
      <pane xSplit="2" ySplit="17" topLeftCell="C18"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0" customWidth="1" min="19" max="19"/>
  </cols>
  <sheetData>
    <row r="1">
      <c r="A1" s="14" t="inlineStr">
        <is>
          <t>S2 基本＋ワイズケア — HD単体 月次キャッシュ推移（百万円）</t>
        </is>
      </c>
    </row>
    <row r="2">
      <c r="A2" s="2" t="inlineStr">
        <is>
          <t>実行フラグ（1＝実行、0＝見送り）とモード（現行／最小化）を変えると全体が再計算されます。青字＝入力値</t>
        </is>
      </c>
    </row>
    <row r="3">
      <c r="A3" s="4" t="inlineStr">
        <is>
          <t>モード</t>
        </is>
      </c>
      <c r="B3" s="23" t="inlineStr">
        <is>
          <t>最小化</t>
        </is>
      </c>
      <c r="C3" s="2" t="inlineStr">
        <is>
          <t>← 「現行」または「最小化」</t>
        </is>
      </c>
    </row>
    <row r="5">
      <c r="A5" s="3" t="inlineStr">
        <is>
          <t>案件</t>
        </is>
      </c>
      <c r="B5" s="3" t="inlineStr">
        <is>
          <t>実行フラグ</t>
        </is>
      </c>
    </row>
    <row r="6">
      <c r="A6" s="6" t="inlineStr">
        <is>
          <t>HT100%化</t>
        </is>
      </c>
      <c r="B6" s="23" t="n">
        <v>1</v>
      </c>
    </row>
    <row r="7">
      <c r="A7" s="6" t="inlineStr">
        <is>
          <t>メディプロ</t>
        </is>
      </c>
      <c r="B7" s="23" t="n">
        <v>1</v>
      </c>
    </row>
    <row r="8">
      <c r="A8" s="6" t="inlineStr">
        <is>
          <t>ヒューマンアイ</t>
        </is>
      </c>
      <c r="B8" s="23" t="n">
        <v>1</v>
      </c>
    </row>
    <row r="9">
      <c r="A9" s="6" t="inlineStr">
        <is>
          <t>クレッシェンド</t>
        </is>
      </c>
      <c r="B9" s="23" t="n">
        <v>1</v>
      </c>
    </row>
    <row r="10">
      <c r="A10" s="6" t="inlineStr">
        <is>
          <t>ワイズケア</t>
        </is>
      </c>
      <c r="B10" s="23" t="n">
        <v>1</v>
      </c>
    </row>
    <row r="11">
      <c r="A11" s="6" t="inlineStr">
        <is>
          <t>エーステイスト</t>
        </is>
      </c>
      <c r="B11" s="23" t="n">
        <v>0</v>
      </c>
    </row>
    <row r="12">
      <c r="A12" s="6" t="inlineStr">
        <is>
          <t>日本経営センター</t>
        </is>
      </c>
      <c r="B12" s="23" t="n">
        <v>0</v>
      </c>
    </row>
    <row r="13">
      <c r="A13" s="6" t="inlineStr">
        <is>
          <t>セレサ</t>
        </is>
      </c>
      <c r="B13" s="23" t="n">
        <v>0</v>
      </c>
    </row>
    <row r="14">
      <c r="A14" s="6" t="inlineStr">
        <is>
          <t>シルバーメディカル</t>
        </is>
      </c>
      <c r="B14" s="23" t="n">
        <v>1</v>
      </c>
    </row>
    <row r="17">
      <c r="A17" s="3" t="inlineStr">
        <is>
          <t>項目</t>
        </is>
      </c>
      <c r="B17" s="3" t="inlineStr"/>
      <c r="C17" s="3" t="inlineStr">
        <is>
          <t>2026/9</t>
        </is>
      </c>
      <c r="D17" s="3" t="inlineStr">
        <is>
          <t>2026/10</t>
        </is>
      </c>
      <c r="E17" s="3" t="inlineStr">
        <is>
          <t>2026/11</t>
        </is>
      </c>
      <c r="F17" s="3" t="inlineStr">
        <is>
          <t>2026/12</t>
        </is>
      </c>
      <c r="G17" s="3" t="inlineStr">
        <is>
          <t>2027/1</t>
        </is>
      </c>
      <c r="H17" s="3" t="inlineStr">
        <is>
          <t>2027/2</t>
        </is>
      </c>
      <c r="I17" s="3" t="inlineStr">
        <is>
          <t>2027/3</t>
        </is>
      </c>
      <c r="J17" s="3" t="inlineStr">
        <is>
          <t>2027/4</t>
        </is>
      </c>
      <c r="K17" s="3" t="inlineStr">
        <is>
          <t>2027/5</t>
        </is>
      </c>
      <c r="L17" s="3" t="inlineStr">
        <is>
          <t>2027/6</t>
        </is>
      </c>
      <c r="M17" s="3" t="inlineStr">
        <is>
          <t>2027/7</t>
        </is>
      </c>
      <c r="N17" s="3" t="inlineStr">
        <is>
          <t>2027/8</t>
        </is>
      </c>
      <c r="O17" s="3" t="inlineStr">
        <is>
          <t>2027/9</t>
        </is>
      </c>
      <c r="P17" s="3" t="inlineStr">
        <is>
          <t>2027/10</t>
        </is>
      </c>
      <c r="Q17" s="3" t="inlineStr">
        <is>
          <t>2027/11</t>
        </is>
      </c>
      <c r="R17" s="3" t="inlineStr">
        <is>
          <t>2027/12</t>
        </is>
      </c>
      <c r="S17" s="3" t="inlineStr">
        <is>
          <t>合計</t>
        </is>
      </c>
    </row>
    <row r="18">
      <c r="A18" s="4" t="inlineStr">
        <is>
          <t>期首現預金</t>
        </is>
      </c>
      <c r="C18" s="21">
        <f>前提!$B$3</f>
        <v>366.3</v>
      </c>
      <c r="D18" s="21">
        <f>C31</f>
        <v>329.3</v>
      </c>
      <c r="E18" s="21">
        <f>D31</f>
        <v>295.4</v>
      </c>
      <c r="F18" s="21">
        <f>E31</f>
        <v>93.6</v>
      </c>
      <c r="G18" s="21">
        <f>F31</f>
        <v>-39.4</v>
      </c>
      <c r="H18" s="21">
        <f>G31</f>
        <v>-44.4</v>
      </c>
      <c r="I18" s="21">
        <f>H31</f>
        <v>-49.4</v>
      </c>
      <c r="J18" s="21">
        <f>I31</f>
        <v>-66.4</v>
      </c>
      <c r="K18" s="21">
        <f>J31</f>
        <v>-71.4</v>
      </c>
      <c r="L18" s="21">
        <f>K31</f>
        <v>-76.4</v>
      </c>
      <c r="M18" s="21">
        <f>L31</f>
        <v>-81.4</v>
      </c>
      <c r="N18" s="21">
        <f>M31</f>
        <v>-86.4</v>
      </c>
      <c r="O18" s="21">
        <f>N31</f>
        <v>-91.4</v>
      </c>
      <c r="P18" s="21">
        <f>O31</f>
        <v>-96.4</v>
      </c>
      <c r="Q18" s="21">
        <f>P31</f>
        <v>-101.4</v>
      </c>
      <c r="R18" s="21">
        <f>Q31</f>
        <v>-106.4</v>
      </c>
      <c r="S18" s="21" t="n"/>
    </row>
    <row r="19">
      <c r="A19" s="6" t="inlineStr">
        <is>
          <t>HD運営費</t>
        </is>
      </c>
      <c r="C19" s="24">
        <f>前提!D$11</f>
        <v>-7</v>
      </c>
      <c r="D19" s="24">
        <f>前提!E$11</f>
        <v>-7</v>
      </c>
      <c r="E19" s="24">
        <f>前提!F$11</f>
        <v>-7</v>
      </c>
      <c r="F19" s="24">
        <f>前提!G$11</f>
        <v>-7</v>
      </c>
      <c r="G19" s="24">
        <f>前提!H$11</f>
        <v>-5</v>
      </c>
      <c r="H19" s="24">
        <f>前提!I$11</f>
        <v>-5</v>
      </c>
      <c r="I19" s="24">
        <f>前提!J$11</f>
        <v>-5</v>
      </c>
      <c r="J19" s="24">
        <f>前提!K$11</f>
        <v>-5</v>
      </c>
      <c r="K19" s="24">
        <f>前提!L$11</f>
        <v>-5</v>
      </c>
      <c r="L19" s="24">
        <f>前提!M$11</f>
        <v>-5</v>
      </c>
      <c r="M19" s="24">
        <f>前提!N$11</f>
        <v>-5</v>
      </c>
      <c r="N19" s="24">
        <f>前提!O$11</f>
        <v>-5</v>
      </c>
      <c r="O19" s="24">
        <f>前提!P$11</f>
        <v>-5</v>
      </c>
      <c r="P19" s="24">
        <f>前提!Q$11</f>
        <v>-5</v>
      </c>
      <c r="Q19" s="24">
        <f>前提!R$11</f>
        <v>-5</v>
      </c>
      <c r="R19" s="24">
        <f>前提!S$11</f>
        <v>-5</v>
      </c>
      <c r="S19" s="24">
        <f>SUM(C19:R19)</f>
        <v>-88</v>
      </c>
    </row>
    <row r="20">
      <c r="A20" s="4" t="inlineStr">
        <is>
          <t>案件支出（マイナスは対象会社借入等による軽減）</t>
        </is>
      </c>
    </row>
    <row r="21">
      <c r="A21" s="6" t="inlineStr">
        <is>
          <t xml:space="preserve">　HT100%化</t>
        </is>
      </c>
      <c r="C21" s="24">
        <f>-$B$6*(SUMIFS(前提!$D$12:$D$51,前提!$A$12:$A$51,TRIM($A21),前提!$C$12:$C$51,"共通")+SUMIFS(前提!$D$12:$D$51,前提!$A$12:$A$51,TRIM($A21),前提!$C$12:$C$51,$B$3))</f>
        <v>-30.0</v>
      </c>
      <c r="D21" s="24">
        <f>-$B$6*(SUMIFS(前提!$E$12:$E$51,前提!$A$12:$A$51,TRIM($A21),前提!$C$12:$C$51,"共通")+SUMIFS(前提!$E$12:$E$51,前提!$A$12:$A$51,TRIM($A21),前提!$C$12:$C$51,$B$3))</f>
        <v>0</v>
      </c>
      <c r="E21" s="24">
        <f>-$B$6*(SUMIFS(前提!$F$12:$F$51,前提!$A$12:$A$51,TRIM($A21),前提!$C$12:$C$51,"共通")+SUMIFS(前提!$F$12:$F$51,前提!$A$12:$A$51,TRIM($A21),前提!$C$12:$C$51,$B$3))</f>
        <v>0</v>
      </c>
      <c r="F21" s="24">
        <f>-$B$6*(SUMIFS(前提!$G$12:$G$51,前提!$A$12:$A$51,TRIM($A21),前提!$C$12:$C$51,"共通")+SUMIFS(前提!$G$12:$G$51,前提!$A$12:$A$51,TRIM($A21),前提!$C$12:$C$51,$B$3))</f>
        <v>0</v>
      </c>
      <c r="G21" s="24">
        <f>-$B$6*(SUMIFS(前提!$H$12:$H$51,前提!$A$12:$A$51,TRIM($A21),前提!$C$12:$C$51,"共通")+SUMIFS(前提!$H$12:$H$51,前提!$A$12:$A$51,TRIM($A21),前提!$C$12:$C$51,$B$3))</f>
        <v>0</v>
      </c>
      <c r="H21" s="24">
        <f>-$B$6*(SUMIFS(前提!$I$12:$I$51,前提!$A$12:$A$51,TRIM($A21),前提!$C$12:$C$51,"共通")+SUMIFS(前提!$I$12:$I$51,前提!$A$12:$A$51,TRIM($A21),前提!$C$12:$C$51,$B$3))</f>
        <v>0</v>
      </c>
      <c r="I21" s="24">
        <f>-$B$6*(SUMIFS(前提!$J$12:$J$51,前提!$A$12:$A$51,TRIM($A21),前提!$C$12:$C$51,"共通")+SUMIFS(前提!$J$12:$J$51,前提!$A$12:$A$51,TRIM($A21),前提!$C$12:$C$51,$B$3))</f>
        <v>0</v>
      </c>
      <c r="J21" s="24">
        <f>-$B$6*(SUMIFS(前提!$K$12:$K$51,前提!$A$12:$A$51,TRIM($A21),前提!$C$12:$C$51,"共通")+SUMIFS(前提!$K$12:$K$51,前提!$A$12:$A$51,TRIM($A21),前提!$C$12:$C$51,$B$3))</f>
        <v>0</v>
      </c>
      <c r="K21" s="24">
        <f>-$B$6*(SUMIFS(前提!$L$12:$L$51,前提!$A$12:$A$51,TRIM($A21),前提!$C$12:$C$51,"共通")+SUMIFS(前提!$L$12:$L$51,前提!$A$12:$A$51,TRIM($A21),前提!$C$12:$C$51,$B$3))</f>
        <v>0</v>
      </c>
      <c r="L21" s="24">
        <f>-$B$6*(SUMIFS(前提!$M$12:$M$51,前提!$A$12:$A$51,TRIM($A21),前提!$C$12:$C$51,"共通")+SUMIFS(前提!$M$12:$M$51,前提!$A$12:$A$51,TRIM($A21),前提!$C$12:$C$51,$B$3))</f>
        <v>0</v>
      </c>
      <c r="M21" s="24">
        <f>-$B$6*(SUMIFS(前提!$N$12:$N$51,前提!$A$12:$A$51,TRIM($A21),前提!$C$12:$C$51,"共通")+SUMIFS(前提!$N$12:$N$51,前提!$A$12:$A$51,TRIM($A21),前提!$C$12:$C$51,$B$3))</f>
        <v>0</v>
      </c>
      <c r="N21" s="24">
        <f>-$B$6*(SUMIFS(前提!$O$12:$O$51,前提!$A$12:$A$51,TRIM($A21),前提!$C$12:$C$51,"共通")+SUMIFS(前提!$O$12:$O$51,前提!$A$12:$A$51,TRIM($A21),前提!$C$12:$C$51,$B$3))</f>
        <v>0</v>
      </c>
      <c r="O21" s="24">
        <f>-$B$6*(SUMIFS(前提!$P$12:$P$51,前提!$A$12:$A$51,TRIM($A21),前提!$C$12:$C$51,"共通")+SUMIFS(前提!$P$12:$P$51,前提!$A$12:$A$51,TRIM($A21),前提!$C$12:$C$51,$B$3))</f>
        <v>0</v>
      </c>
      <c r="P21" s="24">
        <f>-$B$6*(SUMIFS(前提!$Q$12:$Q$51,前提!$A$12:$A$51,TRIM($A21),前提!$C$12:$C$51,"共通")+SUMIFS(前提!$Q$12:$Q$51,前提!$A$12:$A$51,TRIM($A21),前提!$C$12:$C$51,$B$3))</f>
        <v>0</v>
      </c>
      <c r="Q21" s="24">
        <f>-$B$6*(SUMIFS(前提!$R$12:$R$51,前提!$A$12:$A$51,TRIM($A21),前提!$C$12:$C$51,"共通")+SUMIFS(前提!$R$12:$R$51,前提!$A$12:$A$51,TRIM($A21),前提!$C$12:$C$51,$B$3))</f>
        <v>0</v>
      </c>
      <c r="R21" s="24">
        <f>-$B$6*(SUMIFS(前提!$S$12:$S$51,前提!$A$12:$A$51,TRIM($A21),前提!$C$12:$C$51,"共通")+SUMIFS(前提!$S$12:$S$51,前提!$A$12:$A$51,TRIM($A21),前提!$C$12:$C$51,$B$3))</f>
        <v>0</v>
      </c>
      <c r="S21" s="24">
        <f>SUM(C21:R21)</f>
        <v>-30.0</v>
      </c>
    </row>
    <row r="22">
      <c r="A22" s="6" t="inlineStr">
        <is>
          <t xml:space="preserve">　メディプロ</t>
        </is>
      </c>
      <c r="C22" s="24">
        <f>-$B$7*(SUMIFS(前提!$D$12:$D$51,前提!$A$12:$A$51,TRIM($A22),前提!$C$12:$C$51,"共通")+SUMIFS(前提!$D$12:$D$51,前提!$A$12:$A$51,TRIM($A22),前提!$C$12:$C$51,$B$3))</f>
        <v>0</v>
      </c>
      <c r="D22" s="24">
        <f>-$B$7*(SUMIFS(前提!$E$12:$E$51,前提!$A$12:$A$51,TRIM($A22),前提!$C$12:$C$51,"共通")+SUMIFS(前提!$E$12:$E$51,前提!$A$12:$A$51,TRIM($A22),前提!$C$12:$C$51,$B$3))</f>
        <v>-1.5</v>
      </c>
      <c r="E22" s="24">
        <f>-$B$7*(SUMIFS(前提!$F$12:$F$51,前提!$A$12:$A$51,TRIM($A22),前提!$C$12:$C$51,"共通")+SUMIFS(前提!$F$12:$F$51,前提!$A$12:$A$51,TRIM($A22),前提!$C$12:$C$51,$B$3))</f>
        <v>-30.5</v>
      </c>
      <c r="F22" s="24">
        <f>-$B$7*(SUMIFS(前提!$G$12:$G$51,前提!$A$12:$A$51,TRIM($A22),前提!$C$12:$C$51,"共通")+SUMIFS(前提!$G$12:$G$51,前提!$A$12:$A$51,TRIM($A22),前提!$C$12:$C$51,$B$3))</f>
        <v>0</v>
      </c>
      <c r="G22" s="24">
        <f>-$B$7*(SUMIFS(前提!$H$12:$H$51,前提!$A$12:$A$51,TRIM($A22),前提!$C$12:$C$51,"共通")+SUMIFS(前提!$H$12:$H$51,前提!$A$12:$A$51,TRIM($A22),前提!$C$12:$C$51,$B$3))</f>
        <v>0</v>
      </c>
      <c r="H22" s="24">
        <f>-$B$7*(SUMIFS(前提!$I$12:$I$51,前提!$A$12:$A$51,TRIM($A22),前提!$C$12:$C$51,"共通")+SUMIFS(前提!$I$12:$I$51,前提!$A$12:$A$51,TRIM($A22),前提!$C$12:$C$51,$B$3))</f>
        <v>0</v>
      </c>
      <c r="I22" s="24">
        <f>-$B$7*(SUMIFS(前提!$J$12:$J$51,前提!$A$12:$A$51,TRIM($A22),前提!$C$12:$C$51,"共通")+SUMIFS(前提!$J$12:$J$51,前提!$A$12:$A$51,TRIM($A22),前提!$C$12:$C$51,$B$3))</f>
        <v>0</v>
      </c>
      <c r="J22" s="24">
        <f>-$B$7*(SUMIFS(前提!$K$12:$K$51,前提!$A$12:$A$51,TRIM($A22),前提!$C$12:$C$51,"共通")+SUMIFS(前提!$K$12:$K$51,前提!$A$12:$A$51,TRIM($A22),前提!$C$12:$C$51,$B$3))</f>
        <v>0</v>
      </c>
      <c r="K22" s="24">
        <f>-$B$7*(SUMIFS(前提!$L$12:$L$51,前提!$A$12:$A$51,TRIM($A22),前提!$C$12:$C$51,"共通")+SUMIFS(前提!$L$12:$L$51,前提!$A$12:$A$51,TRIM($A22),前提!$C$12:$C$51,$B$3))</f>
        <v>0</v>
      </c>
      <c r="L22" s="24">
        <f>-$B$7*(SUMIFS(前提!$M$12:$M$51,前提!$A$12:$A$51,TRIM($A22),前提!$C$12:$C$51,"共通")+SUMIFS(前提!$M$12:$M$51,前提!$A$12:$A$51,TRIM($A22),前提!$C$12:$C$51,$B$3))</f>
        <v>0</v>
      </c>
      <c r="M22" s="24">
        <f>-$B$7*(SUMIFS(前提!$N$12:$N$51,前提!$A$12:$A$51,TRIM($A22),前提!$C$12:$C$51,"共通")+SUMIFS(前提!$N$12:$N$51,前提!$A$12:$A$51,TRIM($A22),前提!$C$12:$C$51,$B$3))</f>
        <v>0</v>
      </c>
      <c r="N22" s="24">
        <f>-$B$7*(SUMIFS(前提!$O$12:$O$51,前提!$A$12:$A$51,TRIM($A22),前提!$C$12:$C$51,"共通")+SUMIFS(前提!$O$12:$O$51,前提!$A$12:$A$51,TRIM($A22),前提!$C$12:$C$51,$B$3))</f>
        <v>0</v>
      </c>
      <c r="O22" s="24">
        <f>-$B$7*(SUMIFS(前提!$P$12:$P$51,前提!$A$12:$A$51,TRIM($A22),前提!$C$12:$C$51,"共通")+SUMIFS(前提!$P$12:$P$51,前提!$A$12:$A$51,TRIM($A22),前提!$C$12:$C$51,$B$3))</f>
        <v>0</v>
      </c>
      <c r="P22" s="24">
        <f>-$B$7*(SUMIFS(前提!$Q$12:$Q$51,前提!$A$12:$A$51,TRIM($A22),前提!$C$12:$C$51,"共通")+SUMIFS(前提!$Q$12:$Q$51,前提!$A$12:$A$51,TRIM($A22),前提!$C$12:$C$51,$B$3))</f>
        <v>0</v>
      </c>
      <c r="Q22" s="24">
        <f>-$B$7*(SUMIFS(前提!$R$12:$R$51,前提!$A$12:$A$51,TRIM($A22),前提!$C$12:$C$51,"共通")+SUMIFS(前提!$R$12:$R$51,前提!$A$12:$A$51,TRIM($A22),前提!$C$12:$C$51,$B$3))</f>
        <v>0</v>
      </c>
      <c r="R22" s="24">
        <f>-$B$7*(SUMIFS(前提!$S$12:$S$51,前提!$A$12:$A$51,TRIM($A22),前提!$C$12:$C$51,"共通")+SUMIFS(前提!$S$12:$S$51,前提!$A$12:$A$51,TRIM($A22),前提!$C$12:$C$51,$B$3))</f>
        <v>0</v>
      </c>
      <c r="S22" s="24">
        <f>SUM(C22:R22)</f>
        <v>-32.0</v>
      </c>
    </row>
    <row r="23">
      <c r="A23" s="6" t="inlineStr">
        <is>
          <t xml:space="preserve">　ヒューマンアイ</t>
        </is>
      </c>
      <c r="C23" s="24">
        <f>-$B$8*(SUMIFS(前提!$D$12:$D$51,前提!$A$12:$A$51,TRIM($A23),前提!$C$12:$C$51,"共通")+SUMIFS(前提!$D$12:$D$51,前提!$A$12:$A$51,TRIM($A23),前提!$C$12:$C$51,$B$3))</f>
        <v>0</v>
      </c>
      <c r="D23" s="24">
        <f>-$B$8*(SUMIFS(前提!$E$12:$E$51,前提!$A$12:$A$51,TRIM($A23),前提!$C$12:$C$51,"共通")+SUMIFS(前提!$E$12:$E$51,前提!$A$12:$A$51,TRIM($A23),前提!$C$12:$C$51,$B$3))</f>
        <v>-12.5</v>
      </c>
      <c r="E23" s="24">
        <f>-$B$8*(SUMIFS(前提!$F$12:$F$51,前提!$A$12:$A$51,TRIM($A23),前提!$C$12:$C$51,"共通")+SUMIFS(前提!$F$12:$F$51,前提!$A$12:$A$51,TRIM($A23),前提!$C$12:$C$51,$B$3))</f>
        <v>0</v>
      </c>
      <c r="F23" s="24">
        <f>-$B$8*(SUMIFS(前提!$G$12:$G$51,前提!$A$12:$A$51,TRIM($A23),前提!$C$12:$C$51,"共通")+SUMIFS(前提!$G$12:$G$51,前提!$A$12:$A$51,TRIM($A23),前提!$C$12:$C$51,$B$3))</f>
        <v>-12.0</v>
      </c>
      <c r="G23" s="24">
        <f>-$B$8*(SUMIFS(前提!$H$12:$H$51,前提!$A$12:$A$51,TRIM($A23),前提!$C$12:$C$51,"共通")+SUMIFS(前提!$H$12:$H$51,前提!$A$12:$A$51,TRIM($A23),前提!$C$12:$C$51,$B$3))</f>
        <v>0</v>
      </c>
      <c r="H23" s="24">
        <f>-$B$8*(SUMIFS(前提!$I$12:$I$51,前提!$A$12:$A$51,TRIM($A23),前提!$C$12:$C$51,"共通")+SUMIFS(前提!$I$12:$I$51,前提!$A$12:$A$51,TRIM($A23),前提!$C$12:$C$51,$B$3))</f>
        <v>0</v>
      </c>
      <c r="I23" s="24">
        <f>-$B$8*(SUMIFS(前提!$J$12:$J$51,前提!$A$12:$A$51,TRIM($A23),前提!$C$12:$C$51,"共通")+SUMIFS(前提!$J$12:$J$51,前提!$A$12:$A$51,TRIM($A23),前提!$C$12:$C$51,$B$3))</f>
        <v>-12.0</v>
      </c>
      <c r="J23" s="24">
        <f>-$B$8*(SUMIFS(前提!$K$12:$K$51,前提!$A$12:$A$51,TRIM($A23),前提!$C$12:$C$51,"共通")+SUMIFS(前提!$K$12:$K$51,前提!$A$12:$A$51,TRIM($A23),前提!$C$12:$C$51,$B$3))</f>
        <v>0</v>
      </c>
      <c r="K23" s="24">
        <f>-$B$8*(SUMIFS(前提!$L$12:$L$51,前提!$A$12:$A$51,TRIM($A23),前提!$C$12:$C$51,"共通")+SUMIFS(前提!$L$12:$L$51,前提!$A$12:$A$51,TRIM($A23),前提!$C$12:$C$51,$B$3))</f>
        <v>0</v>
      </c>
      <c r="L23" s="24">
        <f>-$B$8*(SUMIFS(前提!$M$12:$M$51,前提!$A$12:$A$51,TRIM($A23),前提!$C$12:$C$51,"共通")+SUMIFS(前提!$M$12:$M$51,前提!$A$12:$A$51,TRIM($A23),前提!$C$12:$C$51,$B$3))</f>
        <v>0</v>
      </c>
      <c r="M23" s="24">
        <f>-$B$8*(SUMIFS(前提!$N$12:$N$51,前提!$A$12:$A$51,TRIM($A23),前提!$C$12:$C$51,"共通")+SUMIFS(前提!$N$12:$N$51,前提!$A$12:$A$51,TRIM($A23),前提!$C$12:$C$51,$B$3))</f>
        <v>0</v>
      </c>
      <c r="N23" s="24">
        <f>-$B$8*(SUMIFS(前提!$O$12:$O$51,前提!$A$12:$A$51,TRIM($A23),前提!$C$12:$C$51,"共通")+SUMIFS(前提!$O$12:$O$51,前提!$A$12:$A$51,TRIM($A23),前提!$C$12:$C$51,$B$3))</f>
        <v>0</v>
      </c>
      <c r="O23" s="24">
        <f>-$B$8*(SUMIFS(前提!$P$12:$P$51,前提!$A$12:$A$51,TRIM($A23),前提!$C$12:$C$51,"共通")+SUMIFS(前提!$P$12:$P$51,前提!$A$12:$A$51,TRIM($A23),前提!$C$12:$C$51,$B$3))</f>
        <v>0</v>
      </c>
      <c r="P23" s="24">
        <f>-$B$8*(SUMIFS(前提!$Q$12:$Q$51,前提!$A$12:$A$51,TRIM($A23),前提!$C$12:$C$51,"共通")+SUMIFS(前提!$Q$12:$Q$51,前提!$A$12:$A$51,TRIM($A23),前提!$C$12:$C$51,$B$3))</f>
        <v>0</v>
      </c>
      <c r="Q23" s="24">
        <f>-$B$8*(SUMIFS(前提!$R$12:$R$51,前提!$A$12:$A$51,TRIM($A23),前提!$C$12:$C$51,"共通")+SUMIFS(前提!$R$12:$R$51,前提!$A$12:$A$51,TRIM($A23),前提!$C$12:$C$51,$B$3))</f>
        <v>0</v>
      </c>
      <c r="R23" s="24">
        <f>-$B$8*(SUMIFS(前提!$S$12:$S$51,前提!$A$12:$A$51,TRIM($A23),前提!$C$12:$C$51,"共通")+SUMIFS(前提!$S$12:$S$51,前提!$A$12:$A$51,TRIM($A23),前提!$C$12:$C$51,$B$3))</f>
        <v>0</v>
      </c>
      <c r="S23" s="24">
        <f>SUM(C23:R23)</f>
        <v>-36.5</v>
      </c>
    </row>
    <row r="24">
      <c r="A24" s="6" t="inlineStr">
        <is>
          <t xml:space="preserve">　クレッシェンド</t>
        </is>
      </c>
      <c r="C24" s="24">
        <f>-$B$9*(SUMIFS(前提!$D$12:$D$51,前提!$A$12:$A$51,TRIM($A24),前提!$C$12:$C$51,"共通")+SUMIFS(前提!$D$12:$D$51,前提!$A$12:$A$51,TRIM($A24),前提!$C$12:$C$51,$B$3))</f>
        <v>0</v>
      </c>
      <c r="D24" s="24">
        <f>-$B$9*(SUMIFS(前提!$E$12:$E$51,前提!$A$12:$A$51,TRIM($A24),前提!$C$12:$C$51,"共通")+SUMIFS(前提!$E$12:$E$51,前提!$A$12:$A$51,TRIM($A24),前提!$C$12:$C$51,$B$3))</f>
        <v>-3.1</v>
      </c>
      <c r="E24" s="24">
        <f>-$B$9*(SUMIFS(前提!$F$12:$F$51,前提!$A$12:$A$51,TRIM($A24),前提!$C$12:$C$51,"共通")+SUMIFS(前提!$F$12:$F$51,前提!$A$12:$A$51,TRIM($A24),前提!$C$12:$C$51,$B$3))</f>
        <v>-32.0</v>
      </c>
      <c r="F24" s="24">
        <f>-$B$9*(SUMIFS(前提!$G$12:$G$51,前提!$A$12:$A$51,TRIM($A24),前提!$C$12:$C$51,"共通")+SUMIFS(前提!$G$12:$G$51,前提!$A$12:$A$51,TRIM($A24),前提!$C$12:$C$51,$B$3))</f>
        <v>0</v>
      </c>
      <c r="G24" s="24">
        <f>-$B$9*(SUMIFS(前提!$H$12:$H$51,前提!$A$12:$A$51,TRIM($A24),前提!$C$12:$C$51,"共通")+SUMIFS(前提!$H$12:$H$51,前提!$A$12:$A$51,TRIM($A24),前提!$C$12:$C$51,$B$3))</f>
        <v>0</v>
      </c>
      <c r="H24" s="24">
        <f>-$B$9*(SUMIFS(前提!$I$12:$I$51,前提!$A$12:$A$51,TRIM($A24),前提!$C$12:$C$51,"共通")+SUMIFS(前提!$I$12:$I$51,前提!$A$12:$A$51,TRIM($A24),前提!$C$12:$C$51,$B$3))</f>
        <v>0</v>
      </c>
      <c r="I24" s="24">
        <f>-$B$9*(SUMIFS(前提!$J$12:$J$51,前提!$A$12:$A$51,TRIM($A24),前提!$C$12:$C$51,"共通")+SUMIFS(前提!$J$12:$J$51,前提!$A$12:$A$51,TRIM($A24),前提!$C$12:$C$51,$B$3))</f>
        <v>0</v>
      </c>
      <c r="J24" s="24">
        <f>-$B$9*(SUMIFS(前提!$K$12:$K$51,前提!$A$12:$A$51,TRIM($A24),前提!$C$12:$C$51,"共通")+SUMIFS(前提!$K$12:$K$51,前提!$A$12:$A$51,TRIM($A24),前提!$C$12:$C$51,$B$3))</f>
        <v>0</v>
      </c>
      <c r="K24" s="24">
        <f>-$B$9*(SUMIFS(前提!$L$12:$L$51,前提!$A$12:$A$51,TRIM($A24),前提!$C$12:$C$51,"共通")+SUMIFS(前提!$L$12:$L$51,前提!$A$12:$A$51,TRIM($A24),前提!$C$12:$C$51,$B$3))</f>
        <v>0</v>
      </c>
      <c r="L24" s="24">
        <f>-$B$9*(SUMIFS(前提!$M$12:$M$51,前提!$A$12:$A$51,TRIM($A24),前提!$C$12:$C$51,"共通")+SUMIFS(前提!$M$12:$M$51,前提!$A$12:$A$51,TRIM($A24),前提!$C$12:$C$51,$B$3))</f>
        <v>0</v>
      </c>
      <c r="M24" s="24">
        <f>-$B$9*(SUMIFS(前提!$N$12:$N$51,前提!$A$12:$A$51,TRIM($A24),前提!$C$12:$C$51,"共通")+SUMIFS(前提!$N$12:$N$51,前提!$A$12:$A$51,TRIM($A24),前提!$C$12:$C$51,$B$3))</f>
        <v>0</v>
      </c>
      <c r="N24" s="24">
        <f>-$B$9*(SUMIFS(前提!$O$12:$O$51,前提!$A$12:$A$51,TRIM($A24),前提!$C$12:$C$51,"共通")+SUMIFS(前提!$O$12:$O$51,前提!$A$12:$A$51,TRIM($A24),前提!$C$12:$C$51,$B$3))</f>
        <v>0</v>
      </c>
      <c r="O24" s="24">
        <f>-$B$9*(SUMIFS(前提!$P$12:$P$51,前提!$A$12:$A$51,TRIM($A24),前提!$C$12:$C$51,"共通")+SUMIFS(前提!$P$12:$P$51,前提!$A$12:$A$51,TRIM($A24),前提!$C$12:$C$51,$B$3))</f>
        <v>0</v>
      </c>
      <c r="P24" s="24">
        <f>-$B$9*(SUMIFS(前提!$Q$12:$Q$51,前提!$A$12:$A$51,TRIM($A24),前提!$C$12:$C$51,"共通")+SUMIFS(前提!$Q$12:$Q$51,前提!$A$12:$A$51,TRIM($A24),前提!$C$12:$C$51,$B$3))</f>
        <v>0</v>
      </c>
      <c r="Q24" s="24">
        <f>-$B$9*(SUMIFS(前提!$R$12:$R$51,前提!$A$12:$A$51,TRIM($A24),前提!$C$12:$C$51,"共通")+SUMIFS(前提!$R$12:$R$51,前提!$A$12:$A$51,TRIM($A24),前提!$C$12:$C$51,$B$3))</f>
        <v>0</v>
      </c>
      <c r="R24" s="24">
        <f>-$B$9*(SUMIFS(前提!$S$12:$S$51,前提!$A$12:$A$51,TRIM($A24),前提!$C$12:$C$51,"共通")+SUMIFS(前提!$S$12:$S$51,前提!$A$12:$A$51,TRIM($A24),前提!$C$12:$C$51,$B$3))</f>
        <v>0</v>
      </c>
      <c r="S24" s="24">
        <f>SUM(C24:R24)</f>
        <v>-35.1</v>
      </c>
    </row>
    <row r="25">
      <c r="A25" s="6" t="inlineStr">
        <is>
          <t xml:space="preserve">　ワイズケア</t>
        </is>
      </c>
      <c r="C25" s="24">
        <f>-$B$10*(SUMIFS(前提!$D$12:$D$51,前提!$A$12:$A$51,TRIM($A25),前提!$C$12:$C$51,"共通")+SUMIFS(前提!$D$12:$D$51,前提!$A$12:$A$51,TRIM($A25),前提!$C$12:$C$51,$B$3))</f>
        <v>0</v>
      </c>
      <c r="D25" s="24">
        <f>-$B$10*(SUMIFS(前提!$E$12:$E$51,前提!$A$12:$A$51,TRIM($A25),前提!$C$12:$C$51,"共通")+SUMIFS(前提!$E$12:$E$51,前提!$A$12:$A$51,TRIM($A25),前提!$C$12:$C$51,$B$3))</f>
        <v>-8.7</v>
      </c>
      <c r="E25" s="24">
        <f>-$B$10*(SUMIFS(前提!$F$12:$F$51,前提!$A$12:$A$51,TRIM($A25),前提!$C$12:$C$51,"共通")+SUMIFS(前提!$F$12:$F$51,前提!$A$12:$A$51,TRIM($A25),前提!$C$12:$C$51,$B$3))</f>
        <v>-127.3</v>
      </c>
      <c r="F25" s="24">
        <f>-$B$10*(SUMIFS(前提!$G$12:$G$51,前提!$A$12:$A$51,TRIM($A25),前提!$C$12:$C$51,"共通")+SUMIFS(前提!$G$12:$G$51,前提!$A$12:$A$51,TRIM($A25),前提!$C$12:$C$51,$B$3))</f>
        <v>0</v>
      </c>
      <c r="G25" s="24">
        <f>-$B$10*(SUMIFS(前提!$H$12:$H$51,前提!$A$12:$A$51,TRIM($A25),前提!$C$12:$C$51,"共通")+SUMIFS(前提!$H$12:$H$51,前提!$A$12:$A$51,TRIM($A25),前提!$C$12:$C$51,$B$3))</f>
        <v>0</v>
      </c>
      <c r="H25" s="24">
        <f>-$B$10*(SUMIFS(前提!$I$12:$I$51,前提!$A$12:$A$51,TRIM($A25),前提!$C$12:$C$51,"共通")+SUMIFS(前提!$I$12:$I$51,前提!$A$12:$A$51,TRIM($A25),前提!$C$12:$C$51,$B$3))</f>
        <v>0</v>
      </c>
      <c r="I25" s="24">
        <f>-$B$10*(SUMIFS(前提!$J$12:$J$51,前提!$A$12:$A$51,TRIM($A25),前提!$C$12:$C$51,"共通")+SUMIFS(前提!$J$12:$J$51,前提!$A$12:$A$51,TRIM($A25),前提!$C$12:$C$51,$B$3))</f>
        <v>0</v>
      </c>
      <c r="J25" s="24">
        <f>-$B$10*(SUMIFS(前提!$K$12:$K$51,前提!$A$12:$A$51,TRIM($A25),前提!$C$12:$C$51,"共通")+SUMIFS(前提!$K$12:$K$51,前提!$A$12:$A$51,TRIM($A25),前提!$C$12:$C$51,$B$3))</f>
        <v>0</v>
      </c>
      <c r="K25" s="24">
        <f>-$B$10*(SUMIFS(前提!$L$12:$L$51,前提!$A$12:$A$51,TRIM($A25),前提!$C$12:$C$51,"共通")+SUMIFS(前提!$L$12:$L$51,前提!$A$12:$A$51,TRIM($A25),前提!$C$12:$C$51,$B$3))</f>
        <v>0</v>
      </c>
      <c r="L25" s="24">
        <f>-$B$10*(SUMIFS(前提!$M$12:$M$51,前提!$A$12:$A$51,TRIM($A25),前提!$C$12:$C$51,"共通")+SUMIFS(前提!$M$12:$M$51,前提!$A$12:$A$51,TRIM($A25),前提!$C$12:$C$51,$B$3))</f>
        <v>0</v>
      </c>
      <c r="M25" s="24">
        <f>-$B$10*(SUMIFS(前提!$N$12:$N$51,前提!$A$12:$A$51,TRIM($A25),前提!$C$12:$C$51,"共通")+SUMIFS(前提!$N$12:$N$51,前提!$A$12:$A$51,TRIM($A25),前提!$C$12:$C$51,$B$3))</f>
        <v>0</v>
      </c>
      <c r="N25" s="24">
        <f>-$B$10*(SUMIFS(前提!$O$12:$O$51,前提!$A$12:$A$51,TRIM($A25),前提!$C$12:$C$51,"共通")+SUMIFS(前提!$O$12:$O$51,前提!$A$12:$A$51,TRIM($A25),前提!$C$12:$C$51,$B$3))</f>
        <v>0</v>
      </c>
      <c r="O25" s="24">
        <f>-$B$10*(SUMIFS(前提!$P$12:$P$51,前提!$A$12:$A$51,TRIM($A25),前提!$C$12:$C$51,"共通")+SUMIFS(前提!$P$12:$P$51,前提!$A$12:$A$51,TRIM($A25),前提!$C$12:$C$51,$B$3))</f>
        <v>0</v>
      </c>
      <c r="P25" s="24">
        <f>-$B$10*(SUMIFS(前提!$Q$12:$Q$51,前提!$A$12:$A$51,TRIM($A25),前提!$C$12:$C$51,"共通")+SUMIFS(前提!$Q$12:$Q$51,前提!$A$12:$A$51,TRIM($A25),前提!$C$12:$C$51,$B$3))</f>
        <v>0</v>
      </c>
      <c r="Q25" s="24">
        <f>-$B$10*(SUMIFS(前提!$R$12:$R$51,前提!$A$12:$A$51,TRIM($A25),前提!$C$12:$C$51,"共通")+SUMIFS(前提!$R$12:$R$51,前提!$A$12:$A$51,TRIM($A25),前提!$C$12:$C$51,$B$3))</f>
        <v>0</v>
      </c>
      <c r="R25" s="24">
        <f>-$B$10*(SUMIFS(前提!$S$12:$S$51,前提!$A$12:$A$51,TRIM($A25),前提!$C$12:$C$51,"共通")+SUMIFS(前提!$S$12:$S$51,前提!$A$12:$A$51,TRIM($A25),前提!$C$12:$C$51,$B$3))</f>
        <v>0</v>
      </c>
      <c r="S25" s="24">
        <f>SUM(C25:R25)</f>
        <v>-136.0</v>
      </c>
    </row>
    <row r="26">
      <c r="A26" s="6" t="inlineStr">
        <is>
          <t xml:space="preserve">　エーステイスト</t>
        </is>
      </c>
      <c r="C26" s="24">
        <f>-$B$11*(SUMIFS(前提!$D$12:$D$51,前提!$A$12:$A$51,TRIM($A26),前提!$C$12:$C$51,"共通")+SUMIFS(前提!$D$12:$D$51,前提!$A$12:$A$51,TRIM($A26),前提!$C$12:$C$51,$B$3))</f>
        <v>0</v>
      </c>
      <c r="D26" s="24">
        <f>-$B$11*(SUMIFS(前提!$E$12:$E$51,前提!$A$12:$A$51,TRIM($A26),前提!$C$12:$C$51,"共通")+SUMIFS(前提!$E$12:$E$51,前提!$A$12:$A$51,TRIM($A26),前提!$C$12:$C$51,$B$3))</f>
        <v>0.0</v>
      </c>
      <c r="E26" s="24">
        <f>-$B$11*(SUMIFS(前提!$F$12:$F$51,前提!$A$12:$A$51,TRIM($A26),前提!$C$12:$C$51,"共通")+SUMIFS(前提!$F$12:$F$51,前提!$A$12:$A$51,TRIM($A26),前提!$C$12:$C$51,$B$3))</f>
        <v>0.0</v>
      </c>
      <c r="F26" s="24">
        <f>-$B$11*(SUMIFS(前提!$G$12:$G$51,前提!$A$12:$A$51,TRIM($A26),前提!$C$12:$C$51,"共通")+SUMIFS(前提!$G$12:$G$51,前提!$A$12:$A$51,TRIM($A26),前提!$C$12:$C$51,$B$3))</f>
        <v>0.0</v>
      </c>
      <c r="G26" s="24">
        <f>-$B$11*(SUMIFS(前提!$H$12:$H$51,前提!$A$12:$A$51,TRIM($A26),前提!$C$12:$C$51,"共通")+SUMIFS(前提!$H$12:$H$51,前提!$A$12:$A$51,TRIM($A26),前提!$C$12:$C$51,$B$3))</f>
        <v>0</v>
      </c>
      <c r="H26" s="24">
        <f>-$B$11*(SUMIFS(前提!$I$12:$I$51,前提!$A$12:$A$51,TRIM($A26),前提!$C$12:$C$51,"共通")+SUMIFS(前提!$I$12:$I$51,前提!$A$12:$A$51,TRIM($A26),前提!$C$12:$C$51,$B$3))</f>
        <v>0</v>
      </c>
      <c r="I26" s="24">
        <f>-$B$11*(SUMIFS(前提!$J$12:$J$51,前提!$A$12:$A$51,TRIM($A26),前提!$C$12:$C$51,"共通")+SUMIFS(前提!$J$12:$J$51,前提!$A$12:$A$51,TRIM($A26),前提!$C$12:$C$51,$B$3))</f>
        <v>0</v>
      </c>
      <c r="J26" s="24">
        <f>-$B$11*(SUMIFS(前提!$K$12:$K$51,前提!$A$12:$A$51,TRIM($A26),前提!$C$12:$C$51,"共通")+SUMIFS(前提!$K$12:$K$51,前提!$A$12:$A$51,TRIM($A26),前提!$C$12:$C$51,$B$3))</f>
        <v>0</v>
      </c>
      <c r="K26" s="24">
        <f>-$B$11*(SUMIFS(前提!$L$12:$L$51,前提!$A$12:$A$51,TRIM($A26),前提!$C$12:$C$51,"共通")+SUMIFS(前提!$L$12:$L$51,前提!$A$12:$A$51,TRIM($A26),前提!$C$12:$C$51,$B$3))</f>
        <v>0</v>
      </c>
      <c r="L26" s="24">
        <f>-$B$11*(SUMIFS(前提!$M$12:$M$51,前提!$A$12:$A$51,TRIM($A26),前提!$C$12:$C$51,"共通")+SUMIFS(前提!$M$12:$M$51,前提!$A$12:$A$51,TRIM($A26),前提!$C$12:$C$51,$B$3))</f>
        <v>0</v>
      </c>
      <c r="M26" s="24">
        <f>-$B$11*(SUMIFS(前提!$N$12:$N$51,前提!$A$12:$A$51,TRIM($A26),前提!$C$12:$C$51,"共通")+SUMIFS(前提!$N$12:$N$51,前提!$A$12:$A$51,TRIM($A26),前提!$C$12:$C$51,$B$3))</f>
        <v>0</v>
      </c>
      <c r="N26" s="24">
        <f>-$B$11*(SUMIFS(前提!$O$12:$O$51,前提!$A$12:$A$51,TRIM($A26),前提!$C$12:$C$51,"共通")+SUMIFS(前提!$O$12:$O$51,前提!$A$12:$A$51,TRIM($A26),前提!$C$12:$C$51,$B$3))</f>
        <v>0</v>
      </c>
      <c r="O26" s="24">
        <f>-$B$11*(SUMIFS(前提!$P$12:$P$51,前提!$A$12:$A$51,TRIM($A26),前提!$C$12:$C$51,"共通")+SUMIFS(前提!$P$12:$P$51,前提!$A$12:$A$51,TRIM($A26),前提!$C$12:$C$51,$B$3))</f>
        <v>0</v>
      </c>
      <c r="P26" s="24">
        <f>-$B$11*(SUMIFS(前提!$Q$12:$Q$51,前提!$A$12:$A$51,TRIM($A26),前提!$C$12:$C$51,"共通")+SUMIFS(前提!$Q$12:$Q$51,前提!$A$12:$A$51,TRIM($A26),前提!$C$12:$C$51,$B$3))</f>
        <v>0</v>
      </c>
      <c r="Q26" s="24">
        <f>-$B$11*(SUMIFS(前提!$R$12:$R$51,前提!$A$12:$A$51,TRIM($A26),前提!$C$12:$C$51,"共通")+SUMIFS(前提!$R$12:$R$51,前提!$A$12:$A$51,TRIM($A26),前提!$C$12:$C$51,$B$3))</f>
        <v>0</v>
      </c>
      <c r="R26" s="24">
        <f>-$B$11*(SUMIFS(前提!$S$12:$S$51,前提!$A$12:$A$51,TRIM($A26),前提!$C$12:$C$51,"共通")+SUMIFS(前提!$S$12:$S$51,前提!$A$12:$A$51,TRIM($A26),前提!$C$12:$C$51,$B$3))</f>
        <v>0</v>
      </c>
      <c r="S26" s="24">
        <f>SUM(C26:R26)</f>
        <v>0.0</v>
      </c>
    </row>
    <row r="27">
      <c r="A27" s="6" t="inlineStr">
        <is>
          <t xml:space="preserve">　日本経営センター</t>
        </is>
      </c>
      <c r="C27" s="24">
        <f>-$B$12*(SUMIFS(前提!$D$12:$D$51,前提!$A$12:$A$51,TRIM($A27),前提!$C$12:$C$51,"共通")+SUMIFS(前提!$D$12:$D$51,前提!$A$12:$A$51,TRIM($A27),前提!$C$12:$C$51,$B$3))</f>
        <v>0</v>
      </c>
      <c r="D27" s="24">
        <f>-$B$12*(SUMIFS(前提!$E$12:$E$51,前提!$A$12:$A$51,TRIM($A27),前提!$C$12:$C$51,"共通")+SUMIFS(前提!$E$12:$E$51,前提!$A$12:$A$51,TRIM($A27),前提!$C$12:$C$51,$B$3))</f>
        <v>0</v>
      </c>
      <c r="E27" s="24">
        <f>-$B$12*(SUMIFS(前提!$F$12:$F$51,前提!$A$12:$A$51,TRIM($A27),前提!$C$12:$C$51,"共通")+SUMIFS(前提!$F$12:$F$51,前提!$A$12:$A$51,TRIM($A27),前提!$C$12:$C$51,$B$3))</f>
        <v>0</v>
      </c>
      <c r="F27" s="24">
        <f>-$B$12*(SUMIFS(前提!$G$12:$G$51,前提!$A$12:$A$51,TRIM($A27),前提!$C$12:$C$51,"共通")+SUMIFS(前提!$G$12:$G$51,前提!$A$12:$A$51,TRIM($A27),前提!$C$12:$C$51,$B$3))</f>
        <v>0.0</v>
      </c>
      <c r="G27" s="24">
        <f>-$B$12*(SUMIFS(前提!$H$12:$H$51,前提!$A$12:$A$51,TRIM($A27),前提!$C$12:$C$51,"共通")+SUMIFS(前提!$H$12:$H$51,前提!$A$12:$A$51,TRIM($A27),前提!$C$12:$C$51,$B$3))</f>
        <v>0.0</v>
      </c>
      <c r="H27" s="24">
        <f>-$B$12*(SUMIFS(前提!$I$12:$I$51,前提!$A$12:$A$51,TRIM($A27),前提!$C$12:$C$51,"共通")+SUMIFS(前提!$I$12:$I$51,前提!$A$12:$A$51,TRIM($A27),前提!$C$12:$C$51,$B$3))</f>
        <v>0</v>
      </c>
      <c r="I27" s="24">
        <f>-$B$12*(SUMIFS(前提!$J$12:$J$51,前提!$A$12:$A$51,TRIM($A27),前提!$C$12:$C$51,"共通")+SUMIFS(前提!$J$12:$J$51,前提!$A$12:$A$51,TRIM($A27),前提!$C$12:$C$51,$B$3))</f>
        <v>0</v>
      </c>
      <c r="J27" s="24">
        <f>-$B$12*(SUMIFS(前提!$K$12:$K$51,前提!$A$12:$A$51,TRIM($A27),前提!$C$12:$C$51,"共通")+SUMIFS(前提!$K$12:$K$51,前提!$A$12:$A$51,TRIM($A27),前提!$C$12:$C$51,$B$3))</f>
        <v>0</v>
      </c>
      <c r="K27" s="24">
        <f>-$B$12*(SUMIFS(前提!$L$12:$L$51,前提!$A$12:$A$51,TRIM($A27),前提!$C$12:$C$51,"共通")+SUMIFS(前提!$L$12:$L$51,前提!$A$12:$A$51,TRIM($A27),前提!$C$12:$C$51,$B$3))</f>
        <v>0</v>
      </c>
      <c r="L27" s="24">
        <f>-$B$12*(SUMIFS(前提!$M$12:$M$51,前提!$A$12:$A$51,TRIM($A27),前提!$C$12:$C$51,"共通")+SUMIFS(前提!$M$12:$M$51,前提!$A$12:$A$51,TRIM($A27),前提!$C$12:$C$51,$B$3))</f>
        <v>0</v>
      </c>
      <c r="M27" s="24">
        <f>-$B$12*(SUMIFS(前提!$N$12:$N$51,前提!$A$12:$A$51,TRIM($A27),前提!$C$12:$C$51,"共通")+SUMIFS(前提!$N$12:$N$51,前提!$A$12:$A$51,TRIM($A27),前提!$C$12:$C$51,$B$3))</f>
        <v>0</v>
      </c>
      <c r="N27" s="24">
        <f>-$B$12*(SUMIFS(前提!$O$12:$O$51,前提!$A$12:$A$51,TRIM($A27),前提!$C$12:$C$51,"共通")+SUMIFS(前提!$O$12:$O$51,前提!$A$12:$A$51,TRIM($A27),前提!$C$12:$C$51,$B$3))</f>
        <v>0</v>
      </c>
      <c r="O27" s="24">
        <f>-$B$12*(SUMIFS(前提!$P$12:$P$51,前提!$A$12:$A$51,TRIM($A27),前提!$C$12:$C$51,"共通")+SUMIFS(前提!$P$12:$P$51,前提!$A$12:$A$51,TRIM($A27),前提!$C$12:$C$51,$B$3))</f>
        <v>0</v>
      </c>
      <c r="P27" s="24">
        <f>-$B$12*(SUMIFS(前提!$Q$12:$Q$51,前提!$A$12:$A$51,TRIM($A27),前提!$C$12:$C$51,"共通")+SUMIFS(前提!$Q$12:$Q$51,前提!$A$12:$A$51,TRIM($A27),前提!$C$12:$C$51,$B$3))</f>
        <v>0</v>
      </c>
      <c r="Q27" s="24">
        <f>-$B$12*(SUMIFS(前提!$R$12:$R$51,前提!$A$12:$A$51,TRIM($A27),前提!$C$12:$C$51,"共通")+SUMIFS(前提!$R$12:$R$51,前提!$A$12:$A$51,TRIM($A27),前提!$C$12:$C$51,$B$3))</f>
        <v>0</v>
      </c>
      <c r="R27" s="24">
        <f>-$B$12*(SUMIFS(前提!$S$12:$S$51,前提!$A$12:$A$51,TRIM($A27),前提!$C$12:$C$51,"共通")+SUMIFS(前提!$S$12:$S$51,前提!$A$12:$A$51,TRIM($A27),前提!$C$12:$C$51,$B$3))</f>
        <v>0</v>
      </c>
      <c r="S27" s="24">
        <f>SUM(C27:R27)</f>
        <v>0.0</v>
      </c>
    </row>
    <row r="28">
      <c r="A28" s="6" t="inlineStr">
        <is>
          <t xml:space="preserve">　セレサ</t>
        </is>
      </c>
      <c r="C28" s="24">
        <f>-$B$13*(SUMIFS(前提!$D$12:$D$51,前提!$A$12:$A$51,TRIM($A28),前提!$C$12:$C$51,"共通")+SUMIFS(前提!$D$12:$D$51,前提!$A$12:$A$51,TRIM($A28),前提!$C$12:$C$51,$B$3))</f>
        <v>0</v>
      </c>
      <c r="D28" s="24">
        <f>-$B$13*(SUMIFS(前提!$E$12:$E$51,前提!$A$12:$A$51,TRIM($A28),前提!$C$12:$C$51,"共通")+SUMIFS(前提!$E$12:$E$51,前提!$A$12:$A$51,TRIM($A28),前提!$C$12:$C$51,$B$3))</f>
        <v>0</v>
      </c>
      <c r="E28" s="24">
        <f>-$B$13*(SUMIFS(前提!$F$12:$F$51,前提!$A$12:$A$51,TRIM($A28),前提!$C$12:$C$51,"共通")+SUMIFS(前提!$F$12:$F$51,前提!$A$12:$A$51,TRIM($A28),前提!$C$12:$C$51,$B$3))</f>
        <v>0</v>
      </c>
      <c r="F28" s="24">
        <f>-$B$13*(SUMIFS(前提!$G$12:$G$51,前提!$A$12:$A$51,TRIM($A28),前提!$C$12:$C$51,"共通")+SUMIFS(前提!$G$12:$G$51,前提!$A$12:$A$51,TRIM($A28),前提!$C$12:$C$51,$B$3))</f>
        <v>0</v>
      </c>
      <c r="G28" s="24">
        <f>-$B$13*(SUMIFS(前提!$H$12:$H$51,前提!$A$12:$A$51,TRIM($A28),前提!$C$12:$C$51,"共通")+SUMIFS(前提!$H$12:$H$51,前提!$A$12:$A$51,TRIM($A28),前提!$C$12:$C$51,$B$3))</f>
        <v>0</v>
      </c>
      <c r="H28" s="24">
        <f>-$B$13*(SUMIFS(前提!$I$12:$I$51,前提!$A$12:$A$51,TRIM($A28),前提!$C$12:$C$51,"共通")+SUMIFS(前提!$I$12:$I$51,前提!$A$12:$A$51,TRIM($A28),前提!$C$12:$C$51,$B$3))</f>
        <v>0.0</v>
      </c>
      <c r="I28" s="24">
        <f>-$B$13*(SUMIFS(前提!$J$12:$J$51,前提!$A$12:$A$51,TRIM($A28),前提!$C$12:$C$51,"共通")+SUMIFS(前提!$J$12:$J$51,前提!$A$12:$A$51,TRIM($A28),前提!$C$12:$C$51,$B$3))</f>
        <v>0.0</v>
      </c>
      <c r="J28" s="24">
        <f>-$B$13*(SUMIFS(前提!$K$12:$K$51,前提!$A$12:$A$51,TRIM($A28),前提!$C$12:$C$51,"共通")+SUMIFS(前提!$K$12:$K$51,前提!$A$12:$A$51,TRIM($A28),前提!$C$12:$C$51,$B$3))</f>
        <v>0</v>
      </c>
      <c r="K28" s="24">
        <f>-$B$13*(SUMIFS(前提!$L$12:$L$51,前提!$A$12:$A$51,TRIM($A28),前提!$C$12:$C$51,"共通")+SUMIFS(前提!$L$12:$L$51,前提!$A$12:$A$51,TRIM($A28),前提!$C$12:$C$51,$B$3))</f>
        <v>0</v>
      </c>
      <c r="L28" s="24">
        <f>-$B$13*(SUMIFS(前提!$M$12:$M$51,前提!$A$12:$A$51,TRIM($A28),前提!$C$12:$C$51,"共通")+SUMIFS(前提!$M$12:$M$51,前提!$A$12:$A$51,TRIM($A28),前提!$C$12:$C$51,$B$3))</f>
        <v>0</v>
      </c>
      <c r="M28" s="24">
        <f>-$B$13*(SUMIFS(前提!$N$12:$N$51,前提!$A$12:$A$51,TRIM($A28),前提!$C$12:$C$51,"共通")+SUMIFS(前提!$N$12:$N$51,前提!$A$12:$A$51,TRIM($A28),前提!$C$12:$C$51,$B$3))</f>
        <v>0</v>
      </c>
      <c r="N28" s="24">
        <f>-$B$13*(SUMIFS(前提!$O$12:$O$51,前提!$A$12:$A$51,TRIM($A28),前提!$C$12:$C$51,"共通")+SUMIFS(前提!$O$12:$O$51,前提!$A$12:$A$51,TRIM($A28),前提!$C$12:$C$51,$B$3))</f>
        <v>0</v>
      </c>
      <c r="O28" s="24">
        <f>-$B$13*(SUMIFS(前提!$P$12:$P$51,前提!$A$12:$A$51,TRIM($A28),前提!$C$12:$C$51,"共通")+SUMIFS(前提!$P$12:$P$51,前提!$A$12:$A$51,TRIM($A28),前提!$C$12:$C$51,$B$3))</f>
        <v>0</v>
      </c>
      <c r="P28" s="24">
        <f>-$B$13*(SUMIFS(前提!$Q$12:$Q$51,前提!$A$12:$A$51,TRIM($A28),前提!$C$12:$C$51,"共通")+SUMIFS(前提!$Q$12:$Q$51,前提!$A$12:$A$51,TRIM($A28),前提!$C$12:$C$51,$B$3))</f>
        <v>0</v>
      </c>
      <c r="Q28" s="24">
        <f>-$B$13*(SUMIFS(前提!$R$12:$R$51,前提!$A$12:$A$51,TRIM($A28),前提!$C$12:$C$51,"共通")+SUMIFS(前提!$R$12:$R$51,前提!$A$12:$A$51,TRIM($A28),前提!$C$12:$C$51,$B$3))</f>
        <v>0</v>
      </c>
      <c r="R28" s="24">
        <f>-$B$13*(SUMIFS(前提!$S$12:$S$51,前提!$A$12:$A$51,TRIM($A28),前提!$C$12:$C$51,"共通")+SUMIFS(前提!$S$12:$S$51,前提!$A$12:$A$51,TRIM($A28),前提!$C$12:$C$51,$B$3))</f>
        <v>0</v>
      </c>
      <c r="S28" s="24">
        <f>SUM(C28:R28)</f>
        <v>0.0</v>
      </c>
    </row>
    <row r="29">
      <c r="A29" s="6" t="inlineStr">
        <is>
          <t xml:space="preserve">　シルバーメディカル</t>
        </is>
      </c>
      <c r="C29" s="24">
        <f>-$B$14*(SUMIFS(前提!$D$12:$D$51,前提!$A$12:$A$51,TRIM($A29),前提!$C$12:$C$51,"共通")+SUMIFS(前提!$D$12:$D$51,前提!$A$12:$A$51,TRIM($A29),前提!$C$12:$C$51,$B$3))</f>
        <v>0</v>
      </c>
      <c r="D29" s="24">
        <f>-$B$14*(SUMIFS(前提!$E$12:$E$51,前提!$A$12:$A$51,TRIM($A29),前提!$C$12:$C$51,"共通")+SUMIFS(前提!$E$12:$E$51,前提!$A$12:$A$51,TRIM($A29),前提!$C$12:$C$51,$B$3))</f>
        <v>-1.1</v>
      </c>
      <c r="E29" s="24">
        <f>-$B$14*(SUMIFS(前提!$F$12:$F$51,前提!$A$12:$A$51,TRIM($A29),前提!$C$12:$C$51,"共通")+SUMIFS(前提!$F$12:$F$51,前提!$A$12:$A$51,TRIM($A29),前提!$C$12:$C$51,$B$3))</f>
        <v>-5.0</v>
      </c>
      <c r="F29" s="24">
        <f>-$B$14*(SUMIFS(前提!$G$12:$G$51,前提!$A$12:$A$51,TRIM($A29),前提!$C$12:$C$51,"共通")+SUMIFS(前提!$G$12:$G$51,前提!$A$12:$A$51,TRIM($A29),前提!$C$12:$C$51,$B$3))</f>
        <v>-114.0</v>
      </c>
      <c r="G29" s="24">
        <f>-$B$14*(SUMIFS(前提!$H$12:$H$51,前提!$A$12:$A$51,TRIM($A29),前提!$C$12:$C$51,"共通")+SUMIFS(前提!$H$12:$H$51,前提!$A$12:$A$51,TRIM($A29),前提!$C$12:$C$51,$B$3))</f>
        <v>0</v>
      </c>
      <c r="H29" s="24">
        <f>-$B$14*(SUMIFS(前提!$I$12:$I$51,前提!$A$12:$A$51,TRIM($A29),前提!$C$12:$C$51,"共通")+SUMIFS(前提!$I$12:$I$51,前提!$A$12:$A$51,TRIM($A29),前提!$C$12:$C$51,$B$3))</f>
        <v>0</v>
      </c>
      <c r="I29" s="24">
        <f>-$B$14*(SUMIFS(前提!$J$12:$J$51,前提!$A$12:$A$51,TRIM($A29),前提!$C$12:$C$51,"共通")+SUMIFS(前提!$J$12:$J$51,前提!$A$12:$A$51,TRIM($A29),前提!$C$12:$C$51,$B$3))</f>
        <v>0</v>
      </c>
      <c r="J29" s="24">
        <f>-$B$14*(SUMIFS(前提!$K$12:$K$51,前提!$A$12:$A$51,TRIM($A29),前提!$C$12:$C$51,"共通")+SUMIFS(前提!$K$12:$K$51,前提!$A$12:$A$51,TRIM($A29),前提!$C$12:$C$51,$B$3))</f>
        <v>0</v>
      </c>
      <c r="K29" s="24">
        <f>-$B$14*(SUMIFS(前提!$L$12:$L$51,前提!$A$12:$A$51,TRIM($A29),前提!$C$12:$C$51,"共通")+SUMIFS(前提!$L$12:$L$51,前提!$A$12:$A$51,TRIM($A29),前提!$C$12:$C$51,$B$3))</f>
        <v>0</v>
      </c>
      <c r="L29" s="24">
        <f>-$B$14*(SUMIFS(前提!$M$12:$M$51,前提!$A$12:$A$51,TRIM($A29),前提!$C$12:$C$51,"共通")+SUMIFS(前提!$M$12:$M$51,前提!$A$12:$A$51,TRIM($A29),前提!$C$12:$C$51,$B$3))</f>
        <v>0</v>
      </c>
      <c r="M29" s="24">
        <f>-$B$14*(SUMIFS(前提!$N$12:$N$51,前提!$A$12:$A$51,TRIM($A29),前提!$C$12:$C$51,"共通")+SUMIFS(前提!$N$12:$N$51,前提!$A$12:$A$51,TRIM($A29),前提!$C$12:$C$51,$B$3))</f>
        <v>0</v>
      </c>
      <c r="N29" s="24">
        <f>-$B$14*(SUMIFS(前提!$O$12:$O$51,前提!$A$12:$A$51,TRIM($A29),前提!$C$12:$C$51,"共通")+SUMIFS(前提!$O$12:$O$51,前提!$A$12:$A$51,TRIM($A29),前提!$C$12:$C$51,$B$3))</f>
        <v>0</v>
      </c>
      <c r="O29" s="24">
        <f>-$B$14*(SUMIFS(前提!$P$12:$P$51,前提!$A$12:$A$51,TRIM($A29),前提!$C$12:$C$51,"共通")+SUMIFS(前提!$P$12:$P$51,前提!$A$12:$A$51,TRIM($A29),前提!$C$12:$C$51,$B$3))</f>
        <v>0</v>
      </c>
      <c r="P29" s="24">
        <f>-$B$14*(SUMIFS(前提!$Q$12:$Q$51,前提!$A$12:$A$51,TRIM($A29),前提!$C$12:$C$51,"共通")+SUMIFS(前提!$Q$12:$Q$51,前提!$A$12:$A$51,TRIM($A29),前提!$C$12:$C$51,$B$3))</f>
        <v>0</v>
      </c>
      <c r="Q29" s="24">
        <f>-$B$14*(SUMIFS(前提!$R$12:$R$51,前提!$A$12:$A$51,TRIM($A29),前提!$C$12:$C$51,"共通")+SUMIFS(前提!$R$12:$R$51,前提!$A$12:$A$51,TRIM($A29),前提!$C$12:$C$51,$B$3))</f>
        <v>0</v>
      </c>
      <c r="R29" s="24">
        <f>-$B$14*(SUMIFS(前提!$S$12:$S$51,前提!$A$12:$A$51,TRIM($A29),前提!$C$12:$C$51,"共通")+SUMIFS(前提!$S$12:$S$51,前提!$A$12:$A$51,TRIM($A29),前提!$C$12:$C$51,$B$3))</f>
        <v>0</v>
      </c>
      <c r="S29" s="24">
        <f>SUM(C29:R29)</f>
        <v>-120.1</v>
      </c>
    </row>
    <row r="30">
      <c r="A30" s="4" t="inlineStr">
        <is>
          <t>案件支出 合計</t>
        </is>
      </c>
      <c r="C30" s="21">
        <f>SUM(C21:C29)</f>
        <v>-30.0</v>
      </c>
      <c r="D30" s="21">
        <f>SUM(D21:D29)</f>
        <v>-26.9</v>
      </c>
      <c r="E30" s="21">
        <f>SUM(E21:E29)</f>
        <v>-194.8</v>
      </c>
      <c r="F30" s="21">
        <f>SUM(F21:F29)</f>
        <v>-126.0</v>
      </c>
      <c r="G30" s="21">
        <f>SUM(G21:G29)</f>
        <v>0.0</v>
      </c>
      <c r="H30" s="21">
        <f>SUM(H21:H29)</f>
        <v>0.0</v>
      </c>
      <c r="I30" s="21">
        <f>SUM(I21:I29)</f>
        <v>-12.0</v>
      </c>
      <c r="J30" s="21">
        <f>SUM(J21:J29)</f>
        <v>0</v>
      </c>
      <c r="K30" s="21">
        <f>SUM(K21:K29)</f>
        <v>0</v>
      </c>
      <c r="L30" s="21">
        <f>SUM(L21:L29)</f>
        <v>0</v>
      </c>
      <c r="M30" s="21">
        <f>SUM(M21:M29)</f>
        <v>0</v>
      </c>
      <c r="N30" s="21">
        <f>SUM(N21:N29)</f>
        <v>0</v>
      </c>
      <c r="O30" s="21">
        <f>SUM(O21:O29)</f>
        <v>0</v>
      </c>
      <c r="P30" s="21">
        <f>SUM(P21:P29)</f>
        <v>0</v>
      </c>
      <c r="Q30" s="21">
        <f>SUM(Q21:Q29)</f>
        <v>0</v>
      </c>
      <c r="R30" s="21">
        <f>SUM(R21:R29)</f>
        <v>0</v>
      </c>
      <c r="S30" s="21">
        <f>SUM(C30:R30)</f>
        <v>-389.7</v>
      </c>
    </row>
    <row r="31">
      <c r="A31" s="4" t="inlineStr">
        <is>
          <t>期末現預金</t>
        </is>
      </c>
      <c r="C31" s="22">
        <f>C18+C19+C30</f>
        <v>329.3</v>
      </c>
      <c r="D31" s="22">
        <f>D18+D19+D30</f>
        <v>295.4</v>
      </c>
      <c r="E31" s="22">
        <f>E18+E19+E30</f>
        <v>93.6</v>
      </c>
      <c r="F31" s="22">
        <f>F18+F19+F30</f>
        <v>-39.4</v>
      </c>
      <c r="G31" s="22">
        <f>G18+G19+G30</f>
        <v>-44.4</v>
      </c>
      <c r="H31" s="22">
        <f>H18+H19+H30</f>
        <v>-49.4</v>
      </c>
      <c r="I31" s="22">
        <f>I18+I19+I30</f>
        <v>-66.4</v>
      </c>
      <c r="J31" s="22">
        <f>J18+J19+J30</f>
        <v>-71.4</v>
      </c>
      <c r="K31" s="22">
        <f>K18+K19+K30</f>
        <v>-76.4</v>
      </c>
      <c r="L31" s="22">
        <f>L18+L19+L30</f>
        <v>-81.4</v>
      </c>
      <c r="M31" s="22">
        <f>M18+M19+M30</f>
        <v>-86.4</v>
      </c>
      <c r="N31" s="22">
        <f>N18+N19+N30</f>
        <v>-91.4</v>
      </c>
      <c r="O31" s="22">
        <f>O18+O19+O30</f>
        <v>-96.4</v>
      </c>
      <c r="P31" s="22">
        <f>P18+P19+P30</f>
        <v>-101.4</v>
      </c>
      <c r="Q31" s="22">
        <f>Q18+Q19+Q30</f>
        <v>-106.4</v>
      </c>
      <c r="R31" s="22">
        <f>R18+R19+R30</f>
        <v>-111.4</v>
      </c>
      <c r="S31" s="22" t="n"/>
    </row>
    <row r="32">
      <c r="A32" s="6" t="inlineStr">
        <is>
          <t>安全水準との差</t>
        </is>
      </c>
      <c r="C32" s="24">
        <f>C31-前提!$B$4</f>
        <v>229.3</v>
      </c>
      <c r="D32" s="24">
        <f>D31-前提!$B$4</f>
        <v>195.4</v>
      </c>
      <c r="E32" s="24">
        <f>E31-前提!$B$4</f>
        <v>-6.4</v>
      </c>
      <c r="F32" s="24">
        <f>F31-前提!$B$4</f>
        <v>-139.4</v>
      </c>
      <c r="G32" s="24">
        <f>G31-前提!$B$4</f>
        <v>-144.4</v>
      </c>
      <c r="H32" s="24">
        <f>H31-前提!$B$4</f>
        <v>-149.4</v>
      </c>
      <c r="I32" s="24">
        <f>I31-前提!$B$4</f>
        <v>-166.4</v>
      </c>
      <c r="J32" s="24">
        <f>J31-前提!$B$4</f>
        <v>-171.4</v>
      </c>
      <c r="K32" s="24">
        <f>K31-前提!$B$4</f>
        <v>-176.4</v>
      </c>
      <c r="L32" s="24">
        <f>L31-前提!$B$4</f>
        <v>-181.4</v>
      </c>
      <c r="M32" s="24">
        <f>M31-前提!$B$4</f>
        <v>-186.4</v>
      </c>
      <c r="N32" s="24">
        <f>N31-前提!$B$4</f>
        <v>-191.4</v>
      </c>
      <c r="O32" s="24">
        <f>O31-前提!$B$4</f>
        <v>-196.4</v>
      </c>
      <c r="P32" s="24">
        <f>P31-前提!$B$4</f>
        <v>-201.4</v>
      </c>
      <c r="Q32" s="24">
        <f>Q31-前提!$B$4</f>
        <v>-206.4</v>
      </c>
      <c r="R32" s="24">
        <f>R31-前提!$B$4</f>
        <v>-211.4</v>
      </c>
      <c r="S32" s="24" t="n"/>
    </row>
    <row r="33">
      <c r="A33" s="4" t="inlineStr">
        <is>
          <t>必要調達額（安全水準を維持するための不足額）</t>
        </is>
      </c>
      <c r="C33" s="25">
        <f>MAX(0,前提!$B$4-C31)</f>
        <v>0</v>
      </c>
      <c r="D33" s="25">
        <f>MAX(0,前提!$B$4-D31)</f>
        <v>0</v>
      </c>
      <c r="E33" s="25">
        <f>MAX(0,前提!$B$4-E31)</f>
        <v>6.4</v>
      </c>
      <c r="F33" s="25">
        <f>MAX(0,前提!$B$4-F31)</f>
        <v>139.4</v>
      </c>
      <c r="G33" s="25">
        <f>MAX(0,前提!$B$4-G31)</f>
        <v>144.4</v>
      </c>
      <c r="H33" s="25">
        <f>MAX(0,前提!$B$4-H31)</f>
        <v>149.4</v>
      </c>
      <c r="I33" s="25">
        <f>MAX(0,前提!$B$4-I31)</f>
        <v>166.4</v>
      </c>
      <c r="J33" s="25">
        <f>MAX(0,前提!$B$4-J31)</f>
        <v>171.4</v>
      </c>
      <c r="K33" s="25">
        <f>MAX(0,前提!$B$4-K31)</f>
        <v>176.4</v>
      </c>
      <c r="L33" s="25">
        <f>MAX(0,前提!$B$4-L31)</f>
        <v>181.4</v>
      </c>
      <c r="M33" s="25">
        <f>MAX(0,前提!$B$4-M31)</f>
        <v>186.4</v>
      </c>
      <c r="N33" s="25">
        <f>MAX(0,前提!$B$4-N31)</f>
        <v>191.4</v>
      </c>
      <c r="O33" s="25">
        <f>MAX(0,前提!$B$4-O31)</f>
        <v>196.4</v>
      </c>
      <c r="P33" s="25">
        <f>MAX(0,前提!$B$4-P31)</f>
        <v>201.4</v>
      </c>
      <c r="Q33" s="25">
        <f>MAX(0,前提!$B$4-Q31)</f>
        <v>206.4</v>
      </c>
      <c r="R33" s="25">
        <f>MAX(0,前提!$B$4-R31)</f>
        <v>211.4</v>
      </c>
      <c r="S33" s="25" t="n"/>
    </row>
    <row r="34">
      <c r="A34" s="6" t="inlineStr">
        <is>
          <t>累計案件支出</t>
        </is>
      </c>
      <c r="C34" s="24">
        <f>-SUM($C30:C30)</f>
        <v>30.0</v>
      </c>
      <c r="D34" s="24">
        <f>-SUM($C30:D30)</f>
        <v>56.9</v>
      </c>
      <c r="E34" s="24">
        <f>-SUM($C30:E30)</f>
        <v>251.7</v>
      </c>
      <c r="F34" s="24">
        <f>-SUM($C30:F30)</f>
        <v>377.7</v>
      </c>
      <c r="G34" s="24">
        <f>-SUM($C30:G30)</f>
        <v>377.7</v>
      </c>
      <c r="H34" s="24">
        <f>-SUM($C30:H30)</f>
        <v>377.7</v>
      </c>
      <c r="I34" s="24">
        <f>-SUM($C30:I30)</f>
        <v>389.7</v>
      </c>
      <c r="J34" s="24">
        <f>-SUM($C30:J30)</f>
        <v>389.7</v>
      </c>
      <c r="K34" s="24">
        <f>-SUM($C30:K30)</f>
        <v>389.7</v>
      </c>
      <c r="L34" s="24">
        <f>-SUM($C30:L30)</f>
        <v>389.7</v>
      </c>
      <c r="M34" s="24">
        <f>-SUM($C30:M30)</f>
        <v>389.7</v>
      </c>
      <c r="N34" s="24">
        <f>-SUM($C30:N30)</f>
        <v>389.7</v>
      </c>
      <c r="O34" s="24">
        <f>-SUM($C30:O30)</f>
        <v>389.7</v>
      </c>
      <c r="P34" s="24">
        <f>-SUM($C30:P30)</f>
        <v>389.7</v>
      </c>
      <c r="Q34" s="24">
        <f>-SUM($C30:Q30)</f>
        <v>389.7</v>
      </c>
      <c r="R34" s="24">
        <f>-SUM($C30:R30)</f>
        <v>389.7</v>
      </c>
      <c r="S34" s="24" t="n"/>
    </row>
    <row r="35">
      <c r="A35" s="6" t="inlineStr">
        <is>
          <t>安全水準割込み（1＝割込）</t>
        </is>
      </c>
      <c r="C35" s="24">
        <f>IF(C31&lt;前提!$B$4,1,0)</f>
        <v>0</v>
      </c>
      <c r="D35" s="24">
        <f>IF(D31&lt;前提!$B$4,1,0)</f>
        <v>0</v>
      </c>
      <c r="E35" s="24">
        <f>IF(E31&lt;前提!$B$4,1,0)</f>
        <v>1</v>
      </c>
      <c r="F35" s="24">
        <f>IF(F31&lt;前提!$B$4,1,0)</f>
        <v>1</v>
      </c>
      <c r="G35" s="24">
        <f>IF(G31&lt;前提!$B$4,1,0)</f>
        <v>1</v>
      </c>
      <c r="H35" s="24">
        <f>IF(H31&lt;前提!$B$4,1,0)</f>
        <v>1</v>
      </c>
      <c r="I35" s="24">
        <f>IF(I31&lt;前提!$B$4,1,0)</f>
        <v>1</v>
      </c>
      <c r="J35" s="24">
        <f>IF(J31&lt;前提!$B$4,1,0)</f>
        <v>1</v>
      </c>
      <c r="K35" s="24">
        <f>IF(K31&lt;前提!$B$4,1,0)</f>
        <v>1</v>
      </c>
      <c r="L35" s="24">
        <f>IF(L31&lt;前提!$B$4,1,0)</f>
        <v>1</v>
      </c>
      <c r="M35" s="24">
        <f>IF(M31&lt;前提!$B$4,1,0)</f>
        <v>1</v>
      </c>
      <c r="N35" s="24">
        <f>IF(N31&lt;前提!$B$4,1,0)</f>
        <v>1</v>
      </c>
      <c r="O35" s="24">
        <f>IF(O31&lt;前提!$B$4,1,0)</f>
        <v>1</v>
      </c>
      <c r="P35" s="24">
        <f>IF(P31&lt;前提!$B$4,1,0)</f>
        <v>1</v>
      </c>
      <c r="Q35" s="24">
        <f>IF(Q31&lt;前提!$B$4,1,0)</f>
        <v>1</v>
      </c>
      <c r="R35" s="24">
        <f>IF(R31&lt;前提!$B$4,1,0)</f>
        <v>1</v>
      </c>
      <c r="S35" s="24" t="n"/>
    </row>
    <row r="37">
      <c r="A37" s="4" t="inlineStr">
        <is>
          <t>Net Debt Capacity（連結・調達前）</t>
        </is>
      </c>
    </row>
    <row r="38">
      <c r="A38" s="6" t="inlineStr">
        <is>
          <t xml:space="preserve">　売掛金（既存＋クロージング後の案件）</t>
        </is>
      </c>
      <c r="C38" s="24">
        <f>前提!$B$60+SUMPRODUCT($B$6:$B$14,案件一覧!$N$4:$N$12,--(案件一覧!$M$4:$M$12&lt;=1))</f>
        <v>192.0</v>
      </c>
      <c r="D38" s="24">
        <f>前提!$B$60+SUMPRODUCT($B$6:$B$14,案件一覧!$N$4:$N$12,--(案件一覧!$M$4:$M$12&lt;=2))</f>
        <v>192.0</v>
      </c>
      <c r="E38" s="24">
        <f>前提!$B$60+SUMPRODUCT($B$6:$B$14,案件一覧!$N$4:$N$12,--(案件一覧!$M$4:$M$12&lt;=3))</f>
        <v>314.0</v>
      </c>
      <c r="F38" s="24">
        <f>前提!$B$60+SUMPRODUCT($B$6:$B$14,案件一覧!$N$4:$N$12,--(案件一覧!$M$4:$M$12&lt;=4))</f>
        <v>474.0</v>
      </c>
      <c r="G38" s="24">
        <f>前提!$B$60+SUMPRODUCT($B$6:$B$14,案件一覧!$N$4:$N$12,--(案件一覧!$M$4:$M$12&lt;=5))</f>
        <v>474.0</v>
      </c>
      <c r="H38" s="24">
        <f>前提!$B$60+SUMPRODUCT($B$6:$B$14,案件一覧!$N$4:$N$12,--(案件一覧!$M$4:$M$12&lt;=6))</f>
        <v>474.0</v>
      </c>
      <c r="I38" s="24">
        <f>前提!$B$60+SUMPRODUCT($B$6:$B$14,案件一覧!$N$4:$N$12,--(案件一覧!$M$4:$M$12&lt;=7))</f>
        <v>474.0</v>
      </c>
      <c r="J38" s="24">
        <f>前提!$B$60+SUMPRODUCT($B$6:$B$14,案件一覧!$N$4:$N$12,--(案件一覧!$M$4:$M$12&lt;=8))</f>
        <v>474.0</v>
      </c>
      <c r="K38" s="24">
        <f>前提!$B$60+SUMPRODUCT($B$6:$B$14,案件一覧!$N$4:$N$12,--(案件一覧!$M$4:$M$12&lt;=9))</f>
        <v>474.0</v>
      </c>
      <c r="L38" s="24">
        <f>前提!$B$60+SUMPRODUCT($B$6:$B$14,案件一覧!$N$4:$N$12,--(案件一覧!$M$4:$M$12&lt;=10))</f>
        <v>474.0</v>
      </c>
      <c r="M38" s="24">
        <f>前提!$B$60+SUMPRODUCT($B$6:$B$14,案件一覧!$N$4:$N$12,--(案件一覧!$M$4:$M$12&lt;=11))</f>
        <v>474.0</v>
      </c>
      <c r="N38" s="24">
        <f>前提!$B$60+SUMPRODUCT($B$6:$B$14,案件一覧!$N$4:$N$12,--(案件一覧!$M$4:$M$12&lt;=12))</f>
        <v>474.0</v>
      </c>
      <c r="O38" s="24">
        <f>前提!$B$60+SUMPRODUCT($B$6:$B$14,案件一覧!$N$4:$N$12,--(案件一覧!$M$4:$M$12&lt;=13))</f>
        <v>474.0</v>
      </c>
      <c r="P38" s="24">
        <f>前提!$B$60+SUMPRODUCT($B$6:$B$14,案件一覧!$N$4:$N$12,--(案件一覧!$M$4:$M$12&lt;=14))</f>
        <v>474.0</v>
      </c>
      <c r="Q38" s="24">
        <f>前提!$B$60+SUMPRODUCT($B$6:$B$14,案件一覧!$N$4:$N$12,--(案件一覧!$M$4:$M$12&lt;=15))</f>
        <v>474.0</v>
      </c>
      <c r="R38" s="24">
        <f>前提!$B$60+SUMPRODUCT($B$6:$B$14,案件一覧!$N$4:$N$12,--(案件一覧!$M$4:$M$12&lt;=16))</f>
        <v>474.0</v>
      </c>
      <c r="S38" s="24" t="n"/>
    </row>
    <row r="39">
      <c r="A39" s="6" t="inlineStr">
        <is>
          <t xml:space="preserve">　現預金（HD＋HT＋案件の残置現金）</t>
        </is>
      </c>
      <c r="C39" s="24">
        <f>C31+前提!D$57+SUMPRODUCT($B$6:$B$14,案件一覧!$O$4:$O$12,--(案件一覧!$M$4:$M$12&lt;=1))</f>
        <v>405.3</v>
      </c>
      <c r="D39" s="24">
        <f>D31+前提!E$57+SUMPRODUCT($B$6:$B$14,案件一覧!$O$4:$O$12,--(案件一覧!$M$4:$M$12&lt;=2))</f>
        <v>371.4</v>
      </c>
      <c r="E39" s="24">
        <f>E31+前提!F$57+SUMPRODUCT($B$6:$B$14,案件一覧!$O$4:$O$12,--(案件一覧!$M$4:$M$12&lt;=3))</f>
        <v>207.6</v>
      </c>
      <c r="F39" s="24">
        <f>F31+前提!G$57+SUMPRODUCT($B$6:$B$14,案件一覧!$O$4:$O$12,--(案件一覧!$M$4:$M$12&lt;=4))</f>
        <v>104.6</v>
      </c>
      <c r="G39" s="24">
        <f>G31+前提!H$57+SUMPRODUCT($B$6:$B$14,案件一覧!$O$4:$O$12,--(案件一覧!$M$4:$M$12&lt;=5))</f>
        <v>103.6</v>
      </c>
      <c r="H39" s="24">
        <f>H31+前提!I$57+SUMPRODUCT($B$6:$B$14,案件一覧!$O$4:$O$12,--(案件一覧!$M$4:$M$12&lt;=6))</f>
        <v>98.6</v>
      </c>
      <c r="I39" s="24">
        <f>I31+前提!J$57+SUMPRODUCT($B$6:$B$14,案件一覧!$O$4:$O$12,--(案件一覧!$M$4:$M$12&lt;=7))</f>
        <v>81.6</v>
      </c>
      <c r="J39" s="24">
        <f>J31+前提!K$57+SUMPRODUCT($B$6:$B$14,案件一覧!$O$4:$O$12,--(案件一覧!$M$4:$M$12&lt;=8))</f>
        <v>76.6</v>
      </c>
      <c r="K39" s="24">
        <f>K31+前提!L$57+SUMPRODUCT($B$6:$B$14,案件一覧!$O$4:$O$12,--(案件一覧!$M$4:$M$12&lt;=9))</f>
        <v>71.6</v>
      </c>
      <c r="L39" s="24">
        <f>L31+前提!M$57+SUMPRODUCT($B$6:$B$14,案件一覧!$O$4:$O$12,--(案件一覧!$M$4:$M$12&lt;=10))</f>
        <v>66.6</v>
      </c>
      <c r="M39" s="24">
        <f>M31+前提!N$57+SUMPRODUCT($B$6:$B$14,案件一覧!$O$4:$O$12,--(案件一覧!$M$4:$M$12&lt;=11))</f>
        <v>61.6</v>
      </c>
      <c r="N39" s="24">
        <f>N31+前提!O$57+SUMPRODUCT($B$6:$B$14,案件一覧!$O$4:$O$12,--(案件一覧!$M$4:$M$12&lt;=12))</f>
        <v>56.6</v>
      </c>
      <c r="O39" s="24">
        <f>O31+前提!P$57+SUMPRODUCT($B$6:$B$14,案件一覧!$O$4:$O$12,--(案件一覧!$M$4:$M$12&lt;=13))</f>
        <v>51.6</v>
      </c>
      <c r="P39" s="24">
        <f>P31+前提!Q$57+SUMPRODUCT($B$6:$B$14,案件一覧!$O$4:$O$12,--(案件一覧!$M$4:$M$12&lt;=14))</f>
        <v>46.6</v>
      </c>
      <c r="Q39" s="24">
        <f>Q31+前提!R$57+SUMPRODUCT($B$6:$B$14,案件一覧!$O$4:$O$12,--(案件一覧!$M$4:$M$12&lt;=15))</f>
        <v>41.6</v>
      </c>
      <c r="R39" s="24">
        <f>R31+前提!S$57+SUMPRODUCT($B$6:$B$14,案件一覧!$O$4:$O$12,--(案件一覧!$M$4:$M$12&lt;=16))</f>
        <v>36.6</v>
      </c>
      <c r="S39" s="24" t="n"/>
    </row>
    <row r="40">
      <c r="A40" s="6" t="inlineStr">
        <is>
          <t xml:space="preserve">　調整後EBITDA年換算（オーガニック＋案件現状値）</t>
        </is>
      </c>
      <c r="C40" s="24">
        <f>前提!D$56+SUMPRODUCT($B$6:$B$14,案件一覧!$E$4:$E$12,--(案件一覧!$M$4:$M$12&lt;=1))</f>
        <v>32</v>
      </c>
      <c r="D40" s="24">
        <f>前提!E$56+SUMPRODUCT($B$6:$B$14,案件一覧!$E$4:$E$12,--(案件一覧!$M$4:$M$12&lt;=2))</f>
        <v>34</v>
      </c>
      <c r="E40" s="24">
        <f>前提!F$56+SUMPRODUCT($B$6:$B$14,案件一覧!$E$4:$E$12,--(案件一覧!$M$4:$M$12&lt;=3))</f>
        <v>113</v>
      </c>
      <c r="F40" s="24">
        <f>前提!G$56+SUMPRODUCT($B$6:$B$14,案件一覧!$E$4:$E$12,--(案件一覧!$M$4:$M$12&lt;=4))</f>
        <v>100</v>
      </c>
      <c r="G40" s="24">
        <f>前提!H$56+SUMPRODUCT($B$6:$B$14,案件一覧!$E$4:$E$12,--(案件一覧!$M$4:$M$12&lt;=5))</f>
        <v>121</v>
      </c>
      <c r="H40" s="24">
        <f>前提!I$56+SUMPRODUCT($B$6:$B$14,案件一覧!$E$4:$E$12,--(案件一覧!$M$4:$M$12&lt;=6))</f>
        <v>121</v>
      </c>
      <c r="I40" s="24">
        <f>前提!J$56+SUMPRODUCT($B$6:$B$14,案件一覧!$E$4:$E$12,--(案件一覧!$M$4:$M$12&lt;=7))</f>
        <v>121</v>
      </c>
      <c r="J40" s="24">
        <f>前提!K$56+SUMPRODUCT($B$6:$B$14,案件一覧!$E$4:$E$12,--(案件一覧!$M$4:$M$12&lt;=8))</f>
        <v>121</v>
      </c>
      <c r="K40" s="24">
        <f>前提!L$56+SUMPRODUCT($B$6:$B$14,案件一覧!$E$4:$E$12,--(案件一覧!$M$4:$M$12&lt;=9))</f>
        <v>121</v>
      </c>
      <c r="L40" s="24">
        <f>前提!M$56+SUMPRODUCT($B$6:$B$14,案件一覧!$E$4:$E$12,--(案件一覧!$M$4:$M$12&lt;=10))</f>
        <v>121</v>
      </c>
      <c r="M40" s="24">
        <f>前提!N$56+SUMPRODUCT($B$6:$B$14,案件一覧!$E$4:$E$12,--(案件一覧!$M$4:$M$12&lt;=11))</f>
        <v>121</v>
      </c>
      <c r="N40" s="24">
        <f>前提!O$56+SUMPRODUCT($B$6:$B$14,案件一覧!$E$4:$E$12,--(案件一覧!$M$4:$M$12&lt;=12))</f>
        <v>121</v>
      </c>
      <c r="O40" s="24">
        <f>前提!P$56+SUMPRODUCT($B$6:$B$14,案件一覧!$E$4:$E$12,--(案件一覧!$M$4:$M$12&lt;=13))</f>
        <v>121</v>
      </c>
      <c r="P40" s="24">
        <f>前提!Q$56+SUMPRODUCT($B$6:$B$14,案件一覧!$E$4:$E$12,--(案件一覧!$M$4:$M$12&lt;=14))</f>
        <v>121</v>
      </c>
      <c r="Q40" s="24">
        <f>前提!R$56+SUMPRODUCT($B$6:$B$14,案件一覧!$E$4:$E$12,--(案件一覧!$M$4:$M$12&lt;=15))</f>
        <v>121</v>
      </c>
      <c r="R40" s="24">
        <f>前提!S$56+SUMPRODUCT($B$6:$B$14,案件一覧!$E$4:$E$12,--(案件一覧!$M$4:$M$12&lt;=16))</f>
        <v>121</v>
      </c>
      <c r="S40" s="24" t="n"/>
    </row>
    <row r="41">
      <c r="A41" s="6" t="inlineStr">
        <is>
          <t xml:space="preserve">　有利子負債（既存＋承継＋対象会社借入・最小化時）</t>
        </is>
      </c>
      <c r="C41" s="24">
        <f>前提!D$58+SUMPRODUCT($B$6:$B$14,案件一覧!$G$4:$G$12,--(案件一覧!$M$4:$M$12&lt;=1))+IF($B$3="最小化",SUMPRODUCT($B$6:$B$14,案件一覧!$P$4:$P$12,--(案件一覧!$Q$4:$Q$12&lt;=1)),0)</f>
        <v>410.0</v>
      </c>
      <c r="D41" s="24">
        <f>前提!E$58+SUMPRODUCT($B$6:$B$14,案件一覧!$G$4:$G$12,--(案件一覧!$M$4:$M$12&lt;=2))+IF($B$3="最小化",SUMPRODUCT($B$6:$B$14,案件一覧!$P$4:$P$12,--(案件一覧!$Q$4:$Q$12&lt;=2)),0)</f>
        <v>405.2</v>
      </c>
      <c r="E41" s="24">
        <f>前提!F$58+SUMPRODUCT($B$6:$B$14,案件一覧!$G$4:$G$12,--(案件一覧!$M$4:$M$12&lt;=3))+IF($B$3="最小化",SUMPRODUCT($B$6:$B$14,案件一覧!$P$4:$P$12,--(案件一覧!$Q$4:$Q$12&lt;=3)),0)</f>
        <v>525.2</v>
      </c>
      <c r="F41" s="24">
        <f>前提!G$58+SUMPRODUCT($B$6:$B$14,案件一覧!$G$4:$G$12,--(案件一覧!$M$4:$M$12&lt;=4))+IF($B$3="最小化",SUMPRODUCT($B$6:$B$14,案件一覧!$P$4:$P$12,--(案件一覧!$Q$4:$Q$12&lt;=4)),0)</f>
        <v>603.4</v>
      </c>
      <c r="G41" s="24">
        <f>前提!H$58+SUMPRODUCT($B$6:$B$14,案件一覧!$G$4:$G$12,--(案件一覧!$M$4:$M$12&lt;=5))+IF($B$3="最小化",SUMPRODUCT($B$6:$B$14,案件一覧!$P$4:$P$12,--(案件一覧!$Q$4:$Q$12&lt;=5)),0)</f>
        <v>598.5</v>
      </c>
      <c r="H41" s="24">
        <f>前提!I$58+SUMPRODUCT($B$6:$B$14,案件一覧!$G$4:$G$12,--(案件一覧!$M$4:$M$12&lt;=6))+IF($B$3="最小化",SUMPRODUCT($B$6:$B$14,案件一覧!$P$4:$P$12,--(案件一覧!$Q$4:$Q$12&lt;=6)),0)</f>
        <v>593.6</v>
      </c>
      <c r="I41" s="24">
        <f>前提!J$58+SUMPRODUCT($B$6:$B$14,案件一覧!$G$4:$G$12,--(案件一覧!$M$4:$M$12&lt;=7))+IF($B$3="最小化",SUMPRODUCT($B$6:$B$14,案件一覧!$P$4:$P$12,--(案件一覧!$Q$4:$Q$12&lt;=7)),0)</f>
        <v>588.8</v>
      </c>
      <c r="J41" s="24">
        <f>前提!K$58+SUMPRODUCT($B$6:$B$14,案件一覧!$G$4:$G$12,--(案件一覧!$M$4:$M$12&lt;=8))+IF($B$3="最小化",SUMPRODUCT($B$6:$B$14,案件一覧!$P$4:$P$12,--(案件一覧!$Q$4:$Q$12&lt;=8)),0)</f>
        <v>584.0</v>
      </c>
      <c r="K41" s="24">
        <f>前提!L$58+SUMPRODUCT($B$6:$B$14,案件一覧!$G$4:$G$12,--(案件一覧!$M$4:$M$12&lt;=9))+IF($B$3="最小化",SUMPRODUCT($B$6:$B$14,案件一覧!$P$4:$P$12,--(案件一覧!$Q$4:$Q$12&lt;=9)),0)</f>
        <v>629.1</v>
      </c>
      <c r="L41" s="24">
        <f>前提!M$58+SUMPRODUCT($B$6:$B$14,案件一覧!$G$4:$G$12,--(案件一覧!$M$4:$M$12&lt;=10))+IF($B$3="最小化",SUMPRODUCT($B$6:$B$14,案件一覧!$P$4:$P$12,--(案件一覧!$Q$4:$Q$12&lt;=10)),0)</f>
        <v>624.2</v>
      </c>
      <c r="M41" s="24">
        <f>前提!N$58+SUMPRODUCT($B$6:$B$14,案件一覧!$G$4:$G$12,--(案件一覧!$M$4:$M$12&lt;=11))+IF($B$3="最小化",SUMPRODUCT($B$6:$B$14,案件一覧!$P$4:$P$12,--(案件一覧!$Q$4:$Q$12&lt;=11)),0)</f>
        <v>619.4</v>
      </c>
      <c r="N41" s="24">
        <f>前提!O$58+SUMPRODUCT($B$6:$B$14,案件一覧!$G$4:$G$12,--(案件一覧!$M$4:$M$12&lt;=12))+IF($B$3="最小化",SUMPRODUCT($B$6:$B$14,案件一覧!$P$4:$P$12,--(案件一覧!$Q$4:$Q$12&lt;=12)),0)</f>
        <v>614.5</v>
      </c>
      <c r="O41" s="24">
        <f>前提!P$58+SUMPRODUCT($B$6:$B$14,案件一覧!$G$4:$G$12,--(案件一覧!$M$4:$M$12&lt;=13))+IF($B$3="最小化",SUMPRODUCT($B$6:$B$14,案件一覧!$P$4:$P$12,--(案件一覧!$Q$4:$Q$12&lt;=13)),0)</f>
        <v>609.7</v>
      </c>
      <c r="P41" s="24">
        <f>前提!Q$58+SUMPRODUCT($B$6:$B$14,案件一覧!$G$4:$G$12,--(案件一覧!$M$4:$M$12&lt;=14))+IF($B$3="最小化",SUMPRODUCT($B$6:$B$14,案件一覧!$P$4:$P$12,--(案件一覧!$Q$4:$Q$12&lt;=14)),0)</f>
        <v>604.9</v>
      </c>
      <c r="Q41" s="24">
        <f>前提!R$58+SUMPRODUCT($B$6:$B$14,案件一覧!$G$4:$G$12,--(案件一覧!$M$4:$M$12&lt;=15))+IF($B$3="最小化",SUMPRODUCT($B$6:$B$14,案件一覧!$P$4:$P$12,--(案件一覧!$Q$4:$Q$12&lt;=15)),0)</f>
        <v>600.0</v>
      </c>
      <c r="R41" s="24">
        <f>前提!S$58+SUMPRODUCT($B$6:$B$14,案件一覧!$G$4:$G$12,--(案件一覧!$M$4:$M$12&lt;=16))+IF($B$3="最小化",SUMPRODUCT($B$6:$B$14,案件一覧!$P$4:$P$12,--(案件一覧!$Q$4:$Q$12&lt;=16)),0)</f>
        <v>595.1</v>
      </c>
      <c r="S41" s="24" t="n"/>
    </row>
    <row r="42">
      <c r="A42" s="4" t="inlineStr">
        <is>
          <t>Net Debt Capacity ＝ EBITDA×4＋売掛金＋現預金−有利子負債</t>
        </is>
      </c>
      <c r="C42" s="26">
        <f>C40*4+C38+C39-C41</f>
        <v>315.2</v>
      </c>
      <c r="D42" s="26">
        <f>D40*4+D38+D39-D41</f>
        <v>294.2</v>
      </c>
      <c r="E42" s="26">
        <f>E40*4+E38+E39-E41</f>
        <v>448.4</v>
      </c>
      <c r="F42" s="26">
        <f>F40*4+F38+F39-F41</f>
        <v>375.2</v>
      </c>
      <c r="G42" s="26">
        <f>G40*4+G38+G39-G41</f>
        <v>463.1</v>
      </c>
      <c r="H42" s="26">
        <f>H40*4+H38+H39-H41</f>
        <v>462.9</v>
      </c>
      <c r="I42" s="26">
        <f>I40*4+I38+I39-I41</f>
        <v>450.8</v>
      </c>
      <c r="J42" s="26">
        <f>J40*4+J38+J39-J41</f>
        <v>450.6</v>
      </c>
      <c r="K42" s="26">
        <f>K40*4+K38+K39-K41</f>
        <v>400.5</v>
      </c>
      <c r="L42" s="26">
        <f>L40*4+L38+L39-L41</f>
        <v>400.3</v>
      </c>
      <c r="M42" s="26">
        <f>M40*4+M38+M39-M41</f>
        <v>400.2</v>
      </c>
      <c r="N42" s="26">
        <f>N40*4+N38+N39-N41</f>
        <v>400.1</v>
      </c>
      <c r="O42" s="26">
        <f>O40*4+O38+O39-O41</f>
        <v>399.9</v>
      </c>
      <c r="P42" s="26">
        <f>P40*4+P38+P39-P41</f>
        <v>399.8</v>
      </c>
      <c r="Q42" s="26">
        <f>Q40*4+Q38+Q39-Q41</f>
        <v>399.6</v>
      </c>
      <c r="R42" s="26">
        <f>R40*4+R38+R39-R41</f>
        <v>399.5</v>
      </c>
      <c r="S42" s="26" t="n"/>
    </row>
    <row r="45">
      <c r="A45" s="4" t="inlineStr">
        <is>
          <t>サマリー指標</t>
        </is>
      </c>
    </row>
    <row r="46">
      <c r="A46" s="6" t="inlineStr">
        <is>
          <t>総支出（案件・16ヶ月）</t>
        </is>
      </c>
      <c r="B46" s="21">
        <f>-S30</f>
        <v>389.7</v>
      </c>
    </row>
    <row r="47">
      <c r="A47" s="6" t="inlineStr">
        <is>
          <t>最低残高</t>
        </is>
      </c>
      <c r="B47" s="21">
        <f>MIN(C31:R31)</f>
        <v>-111.4</v>
      </c>
    </row>
    <row r="48">
      <c r="A48" s="6" t="inlineStr">
        <is>
          <t>最低残高の月</t>
        </is>
      </c>
      <c r="B48" s="4" t="str">
        <f>INDEX($C$17:$R$17,MATCH(B47,C31:R31,0))</f>
        <v>2027/12</v>
      </c>
    </row>
    <row r="49">
      <c r="A49" s="6" t="inlineStr">
        <is>
          <t>初めて安全水準を割る月</t>
        </is>
      </c>
      <c r="B49" s="4" t="str">
        <f>IFERROR(INDEX($C$17:$R$17,MATCH(1,C35:R35,0)),"—")</f>
        <v>2026/11</v>
      </c>
    </row>
    <row r="50">
      <c r="A50" s="6" t="inlineStr">
        <is>
          <t>必要調達額（2027/12まで）</t>
        </is>
      </c>
      <c r="B50" s="21">
        <f>MAX(C33:R33)</f>
        <v>211.4</v>
      </c>
    </row>
    <row r="51">
      <c r="A51" s="6" t="inlineStr">
        <is>
          <t>2026/11までの不足</t>
        </is>
      </c>
      <c r="B51" s="21">
        <f>E33</f>
        <v>6.4</v>
      </c>
    </row>
    <row r="52">
      <c r="A52" s="6" t="inlineStr">
        <is>
          <t>2027/1までの不足</t>
        </is>
      </c>
      <c r="B52" s="21">
        <f>G33</f>
        <v>144.4</v>
      </c>
    </row>
    <row r="53">
      <c r="A53" s="6" t="inlineStr">
        <is>
          <t>2027/3までの不足</t>
        </is>
      </c>
      <c r="B53" s="21">
        <f>I33</f>
        <v>166.4</v>
      </c>
    </row>
    <row r="54">
      <c r="A54" s="6" t="inlineStr">
        <is>
          <t>2027/12 期末現預金</t>
        </is>
      </c>
      <c r="B54" s="21">
        <f>R31</f>
        <v>-111.4</v>
      </c>
    </row>
    <row r="55">
      <c r="A55" s="6" t="inlineStr">
        <is>
          <t>年換算売上（オーガニック＋実行案件）</t>
        </is>
      </c>
      <c r="B55" s="27">
        <f>前提!$B$5+SUMPRODUCT($B$6:$B$14,案件一覧!$D$4:$D$12)</f>
        <v>2920</v>
      </c>
    </row>
    <row r="56">
      <c r="A56" s="6" t="inlineStr">
        <is>
          <t>年換算 調整後EBITDA（現状）</t>
        </is>
      </c>
      <c r="B56" s="27">
        <f>前提!$B$6+SUMPRODUCT($B$6:$B$14,案件一覧!$E$4:$E$12)</f>
        <v>121</v>
      </c>
    </row>
    <row r="57">
      <c r="A57" s="6" t="inlineStr">
        <is>
          <t>年換算 調整後EBITDA（改善後）</t>
        </is>
      </c>
      <c r="B57" s="27">
        <f>前提!$B$6+SUMPRODUCT($B$6:$B$14,案件一覧!$F$4:$F$12)</f>
        <v>206</v>
      </c>
    </row>
    <row r="58">
      <c r="A58" s="6" t="inlineStr">
        <is>
          <t>承継・残置負債</t>
        </is>
      </c>
      <c r="B58" s="21">
        <f>SUMPRODUCT($B$6:$B$14,案件一覧!$G$4:$G$12)</f>
        <v>127.85</v>
      </c>
    </row>
    <row r="59">
      <c r="A59" s="6" t="inlineStr">
        <is>
          <t>Net Debt Capacity 2026/12</t>
        </is>
      </c>
      <c r="B59" s="21">
        <f>F42</f>
        <v>375.2</v>
      </c>
    </row>
    <row r="60">
      <c r="A60" s="6" t="inlineStr">
        <is>
          <t>Net Debt Capacity 2027/12</t>
        </is>
      </c>
      <c r="B60" s="21">
        <f>R42</f>
        <v>399.5</v>
      </c>
    </row>
    <row r="61">
      <c r="A61" s="6" t="inlineStr">
        <is>
          <t>2027/12 有利子負債（調達前）</t>
        </is>
      </c>
      <c r="B61" s="21">
        <f>R41</f>
        <v>595.1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61"/>
  <sheetViews>
    <sheetView workbookViewId="0">
      <pane xSplit="2" ySplit="17" topLeftCell="C18"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0" customWidth="1" min="19" max="19"/>
  </cols>
  <sheetData>
    <row r="1">
      <c r="A1" s="14" t="inlineStr">
        <is>
          <t>S3 基本＋エーステイスト — HD単体 月次キャッシュ推移（百万円）</t>
        </is>
      </c>
    </row>
    <row r="2">
      <c r="A2" s="2" t="inlineStr">
        <is>
          <t>実行フラグ（1＝実行、0＝見送り）とモード（現行／最小化）を変えると全体が再計算されます。青字＝入力値</t>
        </is>
      </c>
    </row>
    <row r="3">
      <c r="A3" s="4" t="inlineStr">
        <is>
          <t>モード</t>
        </is>
      </c>
      <c r="B3" s="23" t="inlineStr">
        <is>
          <t>最小化</t>
        </is>
      </c>
      <c r="C3" s="2" t="inlineStr">
        <is>
          <t>← 「現行」または「最小化」</t>
        </is>
      </c>
    </row>
    <row r="5">
      <c r="A5" s="3" t="inlineStr">
        <is>
          <t>案件</t>
        </is>
      </c>
      <c r="B5" s="3" t="inlineStr">
        <is>
          <t>実行フラグ</t>
        </is>
      </c>
    </row>
    <row r="6">
      <c r="A6" s="6" t="inlineStr">
        <is>
          <t>HT100%化</t>
        </is>
      </c>
      <c r="B6" s="23" t="n">
        <v>1</v>
      </c>
    </row>
    <row r="7">
      <c r="A7" s="6" t="inlineStr">
        <is>
          <t>メディプロ</t>
        </is>
      </c>
      <c r="B7" s="23" t="n">
        <v>1</v>
      </c>
    </row>
    <row r="8">
      <c r="A8" s="6" t="inlineStr">
        <is>
          <t>ヒューマンアイ</t>
        </is>
      </c>
      <c r="B8" s="23" t="n">
        <v>1</v>
      </c>
    </row>
    <row r="9">
      <c r="A9" s="6" t="inlineStr">
        <is>
          <t>クレッシェンド</t>
        </is>
      </c>
      <c r="B9" s="23" t="n">
        <v>1</v>
      </c>
    </row>
    <row r="10">
      <c r="A10" s="6" t="inlineStr">
        <is>
          <t>ワイズケア</t>
        </is>
      </c>
      <c r="B10" s="23" t="n">
        <v>0</v>
      </c>
    </row>
    <row r="11">
      <c r="A11" s="6" t="inlineStr">
        <is>
          <t>エーステイスト</t>
        </is>
      </c>
      <c r="B11" s="23" t="n">
        <v>1</v>
      </c>
    </row>
    <row r="12">
      <c r="A12" s="6" t="inlineStr">
        <is>
          <t>日本経営センター</t>
        </is>
      </c>
      <c r="B12" s="23" t="n">
        <v>0</v>
      </c>
    </row>
    <row r="13">
      <c r="A13" s="6" t="inlineStr">
        <is>
          <t>セレサ</t>
        </is>
      </c>
      <c r="B13" s="23" t="n">
        <v>0</v>
      </c>
    </row>
    <row r="14">
      <c r="A14" s="6" t="inlineStr">
        <is>
          <t>シルバーメディカル</t>
        </is>
      </c>
      <c r="B14" s="23" t="n">
        <v>1</v>
      </c>
    </row>
    <row r="17">
      <c r="A17" s="3" t="inlineStr">
        <is>
          <t>項目</t>
        </is>
      </c>
      <c r="B17" s="3" t="inlineStr"/>
      <c r="C17" s="3" t="inlineStr">
        <is>
          <t>2026/9</t>
        </is>
      </c>
      <c r="D17" s="3" t="inlineStr">
        <is>
          <t>2026/10</t>
        </is>
      </c>
      <c r="E17" s="3" t="inlineStr">
        <is>
          <t>2026/11</t>
        </is>
      </c>
      <c r="F17" s="3" t="inlineStr">
        <is>
          <t>2026/12</t>
        </is>
      </c>
      <c r="G17" s="3" t="inlineStr">
        <is>
          <t>2027/1</t>
        </is>
      </c>
      <c r="H17" s="3" t="inlineStr">
        <is>
          <t>2027/2</t>
        </is>
      </c>
      <c r="I17" s="3" t="inlineStr">
        <is>
          <t>2027/3</t>
        </is>
      </c>
      <c r="J17" s="3" t="inlineStr">
        <is>
          <t>2027/4</t>
        </is>
      </c>
      <c r="K17" s="3" t="inlineStr">
        <is>
          <t>2027/5</t>
        </is>
      </c>
      <c r="L17" s="3" t="inlineStr">
        <is>
          <t>2027/6</t>
        </is>
      </c>
      <c r="M17" s="3" t="inlineStr">
        <is>
          <t>2027/7</t>
        </is>
      </c>
      <c r="N17" s="3" t="inlineStr">
        <is>
          <t>2027/8</t>
        </is>
      </c>
      <c r="O17" s="3" t="inlineStr">
        <is>
          <t>2027/9</t>
        </is>
      </c>
      <c r="P17" s="3" t="inlineStr">
        <is>
          <t>2027/10</t>
        </is>
      </c>
      <c r="Q17" s="3" t="inlineStr">
        <is>
          <t>2027/11</t>
        </is>
      </c>
      <c r="R17" s="3" t="inlineStr">
        <is>
          <t>2027/12</t>
        </is>
      </c>
      <c r="S17" s="3" t="inlineStr">
        <is>
          <t>合計</t>
        </is>
      </c>
    </row>
    <row r="18">
      <c r="A18" s="4" t="inlineStr">
        <is>
          <t>期首現預金</t>
        </is>
      </c>
      <c r="C18" s="21">
        <f>前提!$B$3</f>
        <v>366.3</v>
      </c>
      <c r="D18" s="21">
        <f>C31</f>
        <v>329.3</v>
      </c>
      <c r="E18" s="21">
        <f>D31</f>
        <v>301.35</v>
      </c>
      <c r="F18" s="21">
        <f>E31</f>
        <v>224.85</v>
      </c>
      <c r="G18" s="21">
        <f>F31</f>
        <v>22.1</v>
      </c>
      <c r="H18" s="21">
        <f>G31</f>
        <v>17.1</v>
      </c>
      <c r="I18" s="21">
        <f>H31</f>
        <v>12.1</v>
      </c>
      <c r="J18" s="21">
        <f>I31</f>
        <v>-4.9</v>
      </c>
      <c r="K18" s="21">
        <f>J31</f>
        <v>-9.9</v>
      </c>
      <c r="L18" s="21">
        <f>K31</f>
        <v>-14.9</v>
      </c>
      <c r="M18" s="21">
        <f>L31</f>
        <v>-19.9</v>
      </c>
      <c r="N18" s="21">
        <f>M31</f>
        <v>-24.9</v>
      </c>
      <c r="O18" s="21">
        <f>N31</f>
        <v>-29.9</v>
      </c>
      <c r="P18" s="21">
        <f>O31</f>
        <v>-34.9</v>
      </c>
      <c r="Q18" s="21">
        <f>P31</f>
        <v>-39.9</v>
      </c>
      <c r="R18" s="21">
        <f>Q31</f>
        <v>-44.9</v>
      </c>
      <c r="S18" s="21" t="n"/>
    </row>
    <row r="19">
      <c r="A19" s="6" t="inlineStr">
        <is>
          <t>HD運営費</t>
        </is>
      </c>
      <c r="C19" s="24">
        <f>前提!D$11</f>
        <v>-7</v>
      </c>
      <c r="D19" s="24">
        <f>前提!E$11</f>
        <v>-7</v>
      </c>
      <c r="E19" s="24">
        <f>前提!F$11</f>
        <v>-7</v>
      </c>
      <c r="F19" s="24">
        <f>前提!G$11</f>
        <v>-7</v>
      </c>
      <c r="G19" s="24">
        <f>前提!H$11</f>
        <v>-5</v>
      </c>
      <c r="H19" s="24">
        <f>前提!I$11</f>
        <v>-5</v>
      </c>
      <c r="I19" s="24">
        <f>前提!J$11</f>
        <v>-5</v>
      </c>
      <c r="J19" s="24">
        <f>前提!K$11</f>
        <v>-5</v>
      </c>
      <c r="K19" s="24">
        <f>前提!L$11</f>
        <v>-5</v>
      </c>
      <c r="L19" s="24">
        <f>前提!M$11</f>
        <v>-5</v>
      </c>
      <c r="M19" s="24">
        <f>前提!N$11</f>
        <v>-5</v>
      </c>
      <c r="N19" s="24">
        <f>前提!O$11</f>
        <v>-5</v>
      </c>
      <c r="O19" s="24">
        <f>前提!P$11</f>
        <v>-5</v>
      </c>
      <c r="P19" s="24">
        <f>前提!Q$11</f>
        <v>-5</v>
      </c>
      <c r="Q19" s="24">
        <f>前提!R$11</f>
        <v>-5</v>
      </c>
      <c r="R19" s="24">
        <f>前提!S$11</f>
        <v>-5</v>
      </c>
      <c r="S19" s="24">
        <f>SUM(C19:R19)</f>
        <v>-88</v>
      </c>
    </row>
    <row r="20">
      <c r="A20" s="4" t="inlineStr">
        <is>
          <t>案件支出（マイナスは対象会社借入等による軽減）</t>
        </is>
      </c>
    </row>
    <row r="21">
      <c r="A21" s="6" t="inlineStr">
        <is>
          <t xml:space="preserve">　HT100%化</t>
        </is>
      </c>
      <c r="C21" s="24">
        <f>-$B$6*(SUMIFS(前提!$D$12:$D$51,前提!$A$12:$A$51,TRIM($A21),前提!$C$12:$C$51,"共通")+SUMIFS(前提!$D$12:$D$51,前提!$A$12:$A$51,TRIM($A21),前提!$C$12:$C$51,$B$3))</f>
        <v>-30.0</v>
      </c>
      <c r="D21" s="24">
        <f>-$B$6*(SUMIFS(前提!$E$12:$E$51,前提!$A$12:$A$51,TRIM($A21),前提!$C$12:$C$51,"共通")+SUMIFS(前提!$E$12:$E$51,前提!$A$12:$A$51,TRIM($A21),前提!$C$12:$C$51,$B$3))</f>
        <v>0</v>
      </c>
      <c r="E21" s="24">
        <f>-$B$6*(SUMIFS(前提!$F$12:$F$51,前提!$A$12:$A$51,TRIM($A21),前提!$C$12:$C$51,"共通")+SUMIFS(前提!$F$12:$F$51,前提!$A$12:$A$51,TRIM($A21),前提!$C$12:$C$51,$B$3))</f>
        <v>0</v>
      </c>
      <c r="F21" s="24">
        <f>-$B$6*(SUMIFS(前提!$G$12:$G$51,前提!$A$12:$A$51,TRIM($A21),前提!$C$12:$C$51,"共通")+SUMIFS(前提!$G$12:$G$51,前提!$A$12:$A$51,TRIM($A21),前提!$C$12:$C$51,$B$3))</f>
        <v>0</v>
      </c>
      <c r="G21" s="24">
        <f>-$B$6*(SUMIFS(前提!$H$12:$H$51,前提!$A$12:$A$51,TRIM($A21),前提!$C$12:$C$51,"共通")+SUMIFS(前提!$H$12:$H$51,前提!$A$12:$A$51,TRIM($A21),前提!$C$12:$C$51,$B$3))</f>
        <v>0</v>
      </c>
      <c r="H21" s="24">
        <f>-$B$6*(SUMIFS(前提!$I$12:$I$51,前提!$A$12:$A$51,TRIM($A21),前提!$C$12:$C$51,"共通")+SUMIFS(前提!$I$12:$I$51,前提!$A$12:$A$51,TRIM($A21),前提!$C$12:$C$51,$B$3))</f>
        <v>0</v>
      </c>
      <c r="I21" s="24">
        <f>-$B$6*(SUMIFS(前提!$J$12:$J$51,前提!$A$12:$A$51,TRIM($A21),前提!$C$12:$C$51,"共通")+SUMIFS(前提!$J$12:$J$51,前提!$A$12:$A$51,TRIM($A21),前提!$C$12:$C$51,$B$3))</f>
        <v>0</v>
      </c>
      <c r="J21" s="24">
        <f>-$B$6*(SUMIFS(前提!$K$12:$K$51,前提!$A$12:$A$51,TRIM($A21),前提!$C$12:$C$51,"共通")+SUMIFS(前提!$K$12:$K$51,前提!$A$12:$A$51,TRIM($A21),前提!$C$12:$C$51,$B$3))</f>
        <v>0</v>
      </c>
      <c r="K21" s="24">
        <f>-$B$6*(SUMIFS(前提!$L$12:$L$51,前提!$A$12:$A$51,TRIM($A21),前提!$C$12:$C$51,"共通")+SUMIFS(前提!$L$12:$L$51,前提!$A$12:$A$51,TRIM($A21),前提!$C$12:$C$51,$B$3))</f>
        <v>0</v>
      </c>
      <c r="L21" s="24">
        <f>-$B$6*(SUMIFS(前提!$M$12:$M$51,前提!$A$12:$A$51,TRIM($A21),前提!$C$12:$C$51,"共通")+SUMIFS(前提!$M$12:$M$51,前提!$A$12:$A$51,TRIM($A21),前提!$C$12:$C$51,$B$3))</f>
        <v>0</v>
      </c>
      <c r="M21" s="24">
        <f>-$B$6*(SUMIFS(前提!$N$12:$N$51,前提!$A$12:$A$51,TRIM($A21),前提!$C$12:$C$51,"共通")+SUMIFS(前提!$N$12:$N$51,前提!$A$12:$A$51,TRIM($A21),前提!$C$12:$C$51,$B$3))</f>
        <v>0</v>
      </c>
      <c r="N21" s="24">
        <f>-$B$6*(SUMIFS(前提!$O$12:$O$51,前提!$A$12:$A$51,TRIM($A21),前提!$C$12:$C$51,"共通")+SUMIFS(前提!$O$12:$O$51,前提!$A$12:$A$51,TRIM($A21),前提!$C$12:$C$51,$B$3))</f>
        <v>0</v>
      </c>
      <c r="O21" s="24">
        <f>-$B$6*(SUMIFS(前提!$P$12:$P$51,前提!$A$12:$A$51,TRIM($A21),前提!$C$12:$C$51,"共通")+SUMIFS(前提!$P$12:$P$51,前提!$A$12:$A$51,TRIM($A21),前提!$C$12:$C$51,$B$3))</f>
        <v>0</v>
      </c>
      <c r="P21" s="24">
        <f>-$B$6*(SUMIFS(前提!$Q$12:$Q$51,前提!$A$12:$A$51,TRIM($A21),前提!$C$12:$C$51,"共通")+SUMIFS(前提!$Q$12:$Q$51,前提!$A$12:$A$51,TRIM($A21),前提!$C$12:$C$51,$B$3))</f>
        <v>0</v>
      </c>
      <c r="Q21" s="24">
        <f>-$B$6*(SUMIFS(前提!$R$12:$R$51,前提!$A$12:$A$51,TRIM($A21),前提!$C$12:$C$51,"共通")+SUMIFS(前提!$R$12:$R$51,前提!$A$12:$A$51,TRIM($A21),前提!$C$12:$C$51,$B$3))</f>
        <v>0</v>
      </c>
      <c r="R21" s="24">
        <f>-$B$6*(SUMIFS(前提!$S$12:$S$51,前提!$A$12:$A$51,TRIM($A21),前提!$C$12:$C$51,"共通")+SUMIFS(前提!$S$12:$S$51,前提!$A$12:$A$51,TRIM($A21),前提!$C$12:$C$51,$B$3))</f>
        <v>0</v>
      </c>
      <c r="S21" s="24">
        <f>SUM(C21:R21)</f>
        <v>-30.0</v>
      </c>
    </row>
    <row r="22">
      <c r="A22" s="6" t="inlineStr">
        <is>
          <t xml:space="preserve">　メディプロ</t>
        </is>
      </c>
      <c r="C22" s="24">
        <f>-$B$7*(SUMIFS(前提!$D$12:$D$51,前提!$A$12:$A$51,TRIM($A22),前提!$C$12:$C$51,"共通")+SUMIFS(前提!$D$12:$D$51,前提!$A$12:$A$51,TRIM($A22),前提!$C$12:$C$51,$B$3))</f>
        <v>0</v>
      </c>
      <c r="D22" s="24">
        <f>-$B$7*(SUMIFS(前提!$E$12:$E$51,前提!$A$12:$A$51,TRIM($A22),前提!$C$12:$C$51,"共通")+SUMIFS(前提!$E$12:$E$51,前提!$A$12:$A$51,TRIM($A22),前提!$C$12:$C$51,$B$3))</f>
        <v>-1.5</v>
      </c>
      <c r="E22" s="24">
        <f>-$B$7*(SUMIFS(前提!$F$12:$F$51,前提!$A$12:$A$51,TRIM($A22),前提!$C$12:$C$51,"共通")+SUMIFS(前提!$F$12:$F$51,前提!$A$12:$A$51,TRIM($A22),前提!$C$12:$C$51,$B$3))</f>
        <v>-30.5</v>
      </c>
      <c r="F22" s="24">
        <f>-$B$7*(SUMIFS(前提!$G$12:$G$51,前提!$A$12:$A$51,TRIM($A22),前提!$C$12:$C$51,"共通")+SUMIFS(前提!$G$12:$G$51,前提!$A$12:$A$51,TRIM($A22),前提!$C$12:$C$51,$B$3))</f>
        <v>0</v>
      </c>
      <c r="G22" s="24">
        <f>-$B$7*(SUMIFS(前提!$H$12:$H$51,前提!$A$12:$A$51,TRIM($A22),前提!$C$12:$C$51,"共通")+SUMIFS(前提!$H$12:$H$51,前提!$A$12:$A$51,TRIM($A22),前提!$C$12:$C$51,$B$3))</f>
        <v>0</v>
      </c>
      <c r="H22" s="24">
        <f>-$B$7*(SUMIFS(前提!$I$12:$I$51,前提!$A$12:$A$51,TRIM($A22),前提!$C$12:$C$51,"共通")+SUMIFS(前提!$I$12:$I$51,前提!$A$12:$A$51,TRIM($A22),前提!$C$12:$C$51,$B$3))</f>
        <v>0</v>
      </c>
      <c r="I22" s="24">
        <f>-$B$7*(SUMIFS(前提!$J$12:$J$51,前提!$A$12:$A$51,TRIM($A22),前提!$C$12:$C$51,"共通")+SUMIFS(前提!$J$12:$J$51,前提!$A$12:$A$51,TRIM($A22),前提!$C$12:$C$51,$B$3))</f>
        <v>0</v>
      </c>
      <c r="J22" s="24">
        <f>-$B$7*(SUMIFS(前提!$K$12:$K$51,前提!$A$12:$A$51,TRIM($A22),前提!$C$12:$C$51,"共通")+SUMIFS(前提!$K$12:$K$51,前提!$A$12:$A$51,TRIM($A22),前提!$C$12:$C$51,$B$3))</f>
        <v>0</v>
      </c>
      <c r="K22" s="24">
        <f>-$B$7*(SUMIFS(前提!$L$12:$L$51,前提!$A$12:$A$51,TRIM($A22),前提!$C$12:$C$51,"共通")+SUMIFS(前提!$L$12:$L$51,前提!$A$12:$A$51,TRIM($A22),前提!$C$12:$C$51,$B$3))</f>
        <v>0</v>
      </c>
      <c r="L22" s="24">
        <f>-$B$7*(SUMIFS(前提!$M$12:$M$51,前提!$A$12:$A$51,TRIM($A22),前提!$C$12:$C$51,"共通")+SUMIFS(前提!$M$12:$M$51,前提!$A$12:$A$51,TRIM($A22),前提!$C$12:$C$51,$B$3))</f>
        <v>0</v>
      </c>
      <c r="M22" s="24">
        <f>-$B$7*(SUMIFS(前提!$N$12:$N$51,前提!$A$12:$A$51,TRIM($A22),前提!$C$12:$C$51,"共通")+SUMIFS(前提!$N$12:$N$51,前提!$A$12:$A$51,TRIM($A22),前提!$C$12:$C$51,$B$3))</f>
        <v>0</v>
      </c>
      <c r="N22" s="24">
        <f>-$B$7*(SUMIFS(前提!$O$12:$O$51,前提!$A$12:$A$51,TRIM($A22),前提!$C$12:$C$51,"共通")+SUMIFS(前提!$O$12:$O$51,前提!$A$12:$A$51,TRIM($A22),前提!$C$12:$C$51,$B$3))</f>
        <v>0</v>
      </c>
      <c r="O22" s="24">
        <f>-$B$7*(SUMIFS(前提!$P$12:$P$51,前提!$A$12:$A$51,TRIM($A22),前提!$C$12:$C$51,"共通")+SUMIFS(前提!$P$12:$P$51,前提!$A$12:$A$51,TRIM($A22),前提!$C$12:$C$51,$B$3))</f>
        <v>0</v>
      </c>
      <c r="P22" s="24">
        <f>-$B$7*(SUMIFS(前提!$Q$12:$Q$51,前提!$A$12:$A$51,TRIM($A22),前提!$C$12:$C$51,"共通")+SUMIFS(前提!$Q$12:$Q$51,前提!$A$12:$A$51,TRIM($A22),前提!$C$12:$C$51,$B$3))</f>
        <v>0</v>
      </c>
      <c r="Q22" s="24">
        <f>-$B$7*(SUMIFS(前提!$R$12:$R$51,前提!$A$12:$A$51,TRIM($A22),前提!$C$12:$C$51,"共通")+SUMIFS(前提!$R$12:$R$51,前提!$A$12:$A$51,TRIM($A22),前提!$C$12:$C$51,$B$3))</f>
        <v>0</v>
      </c>
      <c r="R22" s="24">
        <f>-$B$7*(SUMIFS(前提!$S$12:$S$51,前提!$A$12:$A$51,TRIM($A22),前提!$C$12:$C$51,"共通")+SUMIFS(前提!$S$12:$S$51,前提!$A$12:$A$51,TRIM($A22),前提!$C$12:$C$51,$B$3))</f>
        <v>0</v>
      </c>
      <c r="S22" s="24">
        <f>SUM(C22:R22)</f>
        <v>-32.0</v>
      </c>
    </row>
    <row r="23">
      <c r="A23" s="6" t="inlineStr">
        <is>
          <t xml:space="preserve">　ヒューマンアイ</t>
        </is>
      </c>
      <c r="C23" s="24">
        <f>-$B$8*(SUMIFS(前提!$D$12:$D$51,前提!$A$12:$A$51,TRIM($A23),前提!$C$12:$C$51,"共通")+SUMIFS(前提!$D$12:$D$51,前提!$A$12:$A$51,TRIM($A23),前提!$C$12:$C$51,$B$3))</f>
        <v>0</v>
      </c>
      <c r="D23" s="24">
        <f>-$B$8*(SUMIFS(前提!$E$12:$E$51,前提!$A$12:$A$51,TRIM($A23),前提!$C$12:$C$51,"共通")+SUMIFS(前提!$E$12:$E$51,前提!$A$12:$A$51,TRIM($A23),前提!$C$12:$C$51,$B$3))</f>
        <v>-12.5</v>
      </c>
      <c r="E23" s="24">
        <f>-$B$8*(SUMIFS(前提!$F$12:$F$51,前提!$A$12:$A$51,TRIM($A23),前提!$C$12:$C$51,"共通")+SUMIFS(前提!$F$12:$F$51,前提!$A$12:$A$51,TRIM($A23),前提!$C$12:$C$51,$B$3))</f>
        <v>0</v>
      </c>
      <c r="F23" s="24">
        <f>-$B$8*(SUMIFS(前提!$G$12:$G$51,前提!$A$12:$A$51,TRIM($A23),前提!$C$12:$C$51,"共通")+SUMIFS(前提!$G$12:$G$51,前提!$A$12:$A$51,TRIM($A23),前提!$C$12:$C$51,$B$3))</f>
        <v>-12.0</v>
      </c>
      <c r="G23" s="24">
        <f>-$B$8*(SUMIFS(前提!$H$12:$H$51,前提!$A$12:$A$51,TRIM($A23),前提!$C$12:$C$51,"共通")+SUMIFS(前提!$H$12:$H$51,前提!$A$12:$A$51,TRIM($A23),前提!$C$12:$C$51,$B$3))</f>
        <v>0</v>
      </c>
      <c r="H23" s="24">
        <f>-$B$8*(SUMIFS(前提!$I$12:$I$51,前提!$A$12:$A$51,TRIM($A23),前提!$C$12:$C$51,"共通")+SUMIFS(前提!$I$12:$I$51,前提!$A$12:$A$51,TRIM($A23),前提!$C$12:$C$51,$B$3))</f>
        <v>0</v>
      </c>
      <c r="I23" s="24">
        <f>-$B$8*(SUMIFS(前提!$J$12:$J$51,前提!$A$12:$A$51,TRIM($A23),前提!$C$12:$C$51,"共通")+SUMIFS(前提!$J$12:$J$51,前提!$A$12:$A$51,TRIM($A23),前提!$C$12:$C$51,$B$3))</f>
        <v>-12.0</v>
      </c>
      <c r="J23" s="24">
        <f>-$B$8*(SUMIFS(前提!$K$12:$K$51,前提!$A$12:$A$51,TRIM($A23),前提!$C$12:$C$51,"共通")+SUMIFS(前提!$K$12:$K$51,前提!$A$12:$A$51,TRIM($A23),前提!$C$12:$C$51,$B$3))</f>
        <v>0</v>
      </c>
      <c r="K23" s="24">
        <f>-$B$8*(SUMIFS(前提!$L$12:$L$51,前提!$A$12:$A$51,TRIM($A23),前提!$C$12:$C$51,"共通")+SUMIFS(前提!$L$12:$L$51,前提!$A$12:$A$51,TRIM($A23),前提!$C$12:$C$51,$B$3))</f>
        <v>0</v>
      </c>
      <c r="L23" s="24">
        <f>-$B$8*(SUMIFS(前提!$M$12:$M$51,前提!$A$12:$A$51,TRIM($A23),前提!$C$12:$C$51,"共通")+SUMIFS(前提!$M$12:$M$51,前提!$A$12:$A$51,TRIM($A23),前提!$C$12:$C$51,$B$3))</f>
        <v>0</v>
      </c>
      <c r="M23" s="24">
        <f>-$B$8*(SUMIFS(前提!$N$12:$N$51,前提!$A$12:$A$51,TRIM($A23),前提!$C$12:$C$51,"共通")+SUMIFS(前提!$N$12:$N$51,前提!$A$12:$A$51,TRIM($A23),前提!$C$12:$C$51,$B$3))</f>
        <v>0</v>
      </c>
      <c r="N23" s="24">
        <f>-$B$8*(SUMIFS(前提!$O$12:$O$51,前提!$A$12:$A$51,TRIM($A23),前提!$C$12:$C$51,"共通")+SUMIFS(前提!$O$12:$O$51,前提!$A$12:$A$51,TRIM($A23),前提!$C$12:$C$51,$B$3))</f>
        <v>0</v>
      </c>
      <c r="O23" s="24">
        <f>-$B$8*(SUMIFS(前提!$P$12:$P$51,前提!$A$12:$A$51,TRIM($A23),前提!$C$12:$C$51,"共通")+SUMIFS(前提!$P$12:$P$51,前提!$A$12:$A$51,TRIM($A23),前提!$C$12:$C$51,$B$3))</f>
        <v>0</v>
      </c>
      <c r="P23" s="24">
        <f>-$B$8*(SUMIFS(前提!$Q$12:$Q$51,前提!$A$12:$A$51,TRIM($A23),前提!$C$12:$C$51,"共通")+SUMIFS(前提!$Q$12:$Q$51,前提!$A$12:$A$51,TRIM($A23),前提!$C$12:$C$51,$B$3))</f>
        <v>0</v>
      </c>
      <c r="Q23" s="24">
        <f>-$B$8*(SUMIFS(前提!$R$12:$R$51,前提!$A$12:$A$51,TRIM($A23),前提!$C$12:$C$51,"共通")+SUMIFS(前提!$R$12:$R$51,前提!$A$12:$A$51,TRIM($A23),前提!$C$12:$C$51,$B$3))</f>
        <v>0</v>
      </c>
      <c r="R23" s="24">
        <f>-$B$8*(SUMIFS(前提!$S$12:$S$51,前提!$A$12:$A$51,TRIM($A23),前提!$C$12:$C$51,"共通")+SUMIFS(前提!$S$12:$S$51,前提!$A$12:$A$51,TRIM($A23),前提!$C$12:$C$51,$B$3))</f>
        <v>0</v>
      </c>
      <c r="S23" s="24">
        <f>SUM(C23:R23)</f>
        <v>-36.5</v>
      </c>
    </row>
    <row r="24">
      <c r="A24" s="6" t="inlineStr">
        <is>
          <t xml:space="preserve">　クレッシェンド</t>
        </is>
      </c>
      <c r="C24" s="24">
        <f>-$B$9*(SUMIFS(前提!$D$12:$D$51,前提!$A$12:$A$51,TRIM($A24),前提!$C$12:$C$51,"共通")+SUMIFS(前提!$D$12:$D$51,前提!$A$12:$A$51,TRIM($A24),前提!$C$12:$C$51,$B$3))</f>
        <v>0</v>
      </c>
      <c r="D24" s="24">
        <f>-$B$9*(SUMIFS(前提!$E$12:$E$51,前提!$A$12:$A$51,TRIM($A24),前提!$C$12:$C$51,"共通")+SUMIFS(前提!$E$12:$E$51,前提!$A$12:$A$51,TRIM($A24),前提!$C$12:$C$51,$B$3))</f>
        <v>-3.1</v>
      </c>
      <c r="E24" s="24">
        <f>-$B$9*(SUMIFS(前提!$F$12:$F$51,前提!$A$12:$A$51,TRIM($A24),前提!$C$12:$C$51,"共通")+SUMIFS(前提!$F$12:$F$51,前提!$A$12:$A$51,TRIM($A24),前提!$C$12:$C$51,$B$3))</f>
        <v>-32.0</v>
      </c>
      <c r="F24" s="24">
        <f>-$B$9*(SUMIFS(前提!$G$12:$G$51,前提!$A$12:$A$51,TRIM($A24),前提!$C$12:$C$51,"共通")+SUMIFS(前提!$G$12:$G$51,前提!$A$12:$A$51,TRIM($A24),前提!$C$12:$C$51,$B$3))</f>
        <v>0</v>
      </c>
      <c r="G24" s="24">
        <f>-$B$9*(SUMIFS(前提!$H$12:$H$51,前提!$A$12:$A$51,TRIM($A24),前提!$C$12:$C$51,"共通")+SUMIFS(前提!$H$12:$H$51,前提!$A$12:$A$51,TRIM($A24),前提!$C$12:$C$51,$B$3))</f>
        <v>0</v>
      </c>
      <c r="H24" s="24">
        <f>-$B$9*(SUMIFS(前提!$I$12:$I$51,前提!$A$12:$A$51,TRIM($A24),前提!$C$12:$C$51,"共通")+SUMIFS(前提!$I$12:$I$51,前提!$A$12:$A$51,TRIM($A24),前提!$C$12:$C$51,$B$3))</f>
        <v>0</v>
      </c>
      <c r="I24" s="24">
        <f>-$B$9*(SUMIFS(前提!$J$12:$J$51,前提!$A$12:$A$51,TRIM($A24),前提!$C$12:$C$51,"共通")+SUMIFS(前提!$J$12:$J$51,前提!$A$12:$A$51,TRIM($A24),前提!$C$12:$C$51,$B$3))</f>
        <v>0</v>
      </c>
      <c r="J24" s="24">
        <f>-$B$9*(SUMIFS(前提!$K$12:$K$51,前提!$A$12:$A$51,TRIM($A24),前提!$C$12:$C$51,"共通")+SUMIFS(前提!$K$12:$K$51,前提!$A$12:$A$51,TRIM($A24),前提!$C$12:$C$51,$B$3))</f>
        <v>0</v>
      </c>
      <c r="K24" s="24">
        <f>-$B$9*(SUMIFS(前提!$L$12:$L$51,前提!$A$12:$A$51,TRIM($A24),前提!$C$12:$C$51,"共通")+SUMIFS(前提!$L$12:$L$51,前提!$A$12:$A$51,TRIM($A24),前提!$C$12:$C$51,$B$3))</f>
        <v>0</v>
      </c>
      <c r="L24" s="24">
        <f>-$B$9*(SUMIFS(前提!$M$12:$M$51,前提!$A$12:$A$51,TRIM($A24),前提!$C$12:$C$51,"共通")+SUMIFS(前提!$M$12:$M$51,前提!$A$12:$A$51,TRIM($A24),前提!$C$12:$C$51,$B$3))</f>
        <v>0</v>
      </c>
      <c r="M24" s="24">
        <f>-$B$9*(SUMIFS(前提!$N$12:$N$51,前提!$A$12:$A$51,TRIM($A24),前提!$C$12:$C$51,"共通")+SUMIFS(前提!$N$12:$N$51,前提!$A$12:$A$51,TRIM($A24),前提!$C$12:$C$51,$B$3))</f>
        <v>0</v>
      </c>
      <c r="N24" s="24">
        <f>-$B$9*(SUMIFS(前提!$O$12:$O$51,前提!$A$12:$A$51,TRIM($A24),前提!$C$12:$C$51,"共通")+SUMIFS(前提!$O$12:$O$51,前提!$A$12:$A$51,TRIM($A24),前提!$C$12:$C$51,$B$3))</f>
        <v>0</v>
      </c>
      <c r="O24" s="24">
        <f>-$B$9*(SUMIFS(前提!$P$12:$P$51,前提!$A$12:$A$51,TRIM($A24),前提!$C$12:$C$51,"共通")+SUMIFS(前提!$P$12:$P$51,前提!$A$12:$A$51,TRIM($A24),前提!$C$12:$C$51,$B$3))</f>
        <v>0</v>
      </c>
      <c r="P24" s="24">
        <f>-$B$9*(SUMIFS(前提!$Q$12:$Q$51,前提!$A$12:$A$51,TRIM($A24),前提!$C$12:$C$51,"共通")+SUMIFS(前提!$Q$12:$Q$51,前提!$A$12:$A$51,TRIM($A24),前提!$C$12:$C$51,$B$3))</f>
        <v>0</v>
      </c>
      <c r="Q24" s="24">
        <f>-$B$9*(SUMIFS(前提!$R$12:$R$51,前提!$A$12:$A$51,TRIM($A24),前提!$C$12:$C$51,"共通")+SUMIFS(前提!$R$12:$R$51,前提!$A$12:$A$51,TRIM($A24),前提!$C$12:$C$51,$B$3))</f>
        <v>0</v>
      </c>
      <c r="R24" s="24">
        <f>-$B$9*(SUMIFS(前提!$S$12:$S$51,前提!$A$12:$A$51,TRIM($A24),前提!$C$12:$C$51,"共通")+SUMIFS(前提!$S$12:$S$51,前提!$A$12:$A$51,TRIM($A24),前提!$C$12:$C$51,$B$3))</f>
        <v>0</v>
      </c>
      <c r="S24" s="24">
        <f>SUM(C24:R24)</f>
        <v>-35.1</v>
      </c>
    </row>
    <row r="25">
      <c r="A25" s="6" t="inlineStr">
        <is>
          <t xml:space="preserve">　ワイズケア</t>
        </is>
      </c>
      <c r="C25" s="24">
        <f>-$B$10*(SUMIFS(前提!$D$12:$D$51,前提!$A$12:$A$51,TRIM($A25),前提!$C$12:$C$51,"共通")+SUMIFS(前提!$D$12:$D$51,前提!$A$12:$A$51,TRIM($A25),前提!$C$12:$C$51,$B$3))</f>
        <v>0</v>
      </c>
      <c r="D25" s="24">
        <f>-$B$10*(SUMIFS(前提!$E$12:$E$51,前提!$A$12:$A$51,TRIM($A25),前提!$C$12:$C$51,"共通")+SUMIFS(前提!$E$12:$E$51,前提!$A$12:$A$51,TRIM($A25),前提!$C$12:$C$51,$B$3))</f>
        <v>0.0</v>
      </c>
      <c r="E25" s="24">
        <f>-$B$10*(SUMIFS(前提!$F$12:$F$51,前提!$A$12:$A$51,TRIM($A25),前提!$C$12:$C$51,"共通")+SUMIFS(前提!$F$12:$F$51,前提!$A$12:$A$51,TRIM($A25),前提!$C$12:$C$51,$B$3))</f>
        <v>0.0</v>
      </c>
      <c r="F25" s="24">
        <f>-$B$10*(SUMIFS(前提!$G$12:$G$51,前提!$A$12:$A$51,TRIM($A25),前提!$C$12:$C$51,"共通")+SUMIFS(前提!$G$12:$G$51,前提!$A$12:$A$51,TRIM($A25),前提!$C$12:$C$51,$B$3))</f>
        <v>0</v>
      </c>
      <c r="G25" s="24">
        <f>-$B$10*(SUMIFS(前提!$H$12:$H$51,前提!$A$12:$A$51,TRIM($A25),前提!$C$12:$C$51,"共通")+SUMIFS(前提!$H$12:$H$51,前提!$A$12:$A$51,TRIM($A25),前提!$C$12:$C$51,$B$3))</f>
        <v>0</v>
      </c>
      <c r="H25" s="24">
        <f>-$B$10*(SUMIFS(前提!$I$12:$I$51,前提!$A$12:$A$51,TRIM($A25),前提!$C$12:$C$51,"共通")+SUMIFS(前提!$I$12:$I$51,前提!$A$12:$A$51,TRIM($A25),前提!$C$12:$C$51,$B$3))</f>
        <v>0</v>
      </c>
      <c r="I25" s="24">
        <f>-$B$10*(SUMIFS(前提!$J$12:$J$51,前提!$A$12:$A$51,TRIM($A25),前提!$C$12:$C$51,"共通")+SUMIFS(前提!$J$12:$J$51,前提!$A$12:$A$51,TRIM($A25),前提!$C$12:$C$51,$B$3))</f>
        <v>0</v>
      </c>
      <c r="J25" s="24">
        <f>-$B$10*(SUMIFS(前提!$K$12:$K$51,前提!$A$12:$A$51,TRIM($A25),前提!$C$12:$C$51,"共通")+SUMIFS(前提!$K$12:$K$51,前提!$A$12:$A$51,TRIM($A25),前提!$C$12:$C$51,$B$3))</f>
        <v>0</v>
      </c>
      <c r="K25" s="24">
        <f>-$B$10*(SUMIFS(前提!$L$12:$L$51,前提!$A$12:$A$51,TRIM($A25),前提!$C$12:$C$51,"共通")+SUMIFS(前提!$L$12:$L$51,前提!$A$12:$A$51,TRIM($A25),前提!$C$12:$C$51,$B$3))</f>
        <v>0</v>
      </c>
      <c r="L25" s="24">
        <f>-$B$10*(SUMIFS(前提!$M$12:$M$51,前提!$A$12:$A$51,TRIM($A25),前提!$C$12:$C$51,"共通")+SUMIFS(前提!$M$12:$M$51,前提!$A$12:$A$51,TRIM($A25),前提!$C$12:$C$51,$B$3))</f>
        <v>0</v>
      </c>
      <c r="M25" s="24">
        <f>-$B$10*(SUMIFS(前提!$N$12:$N$51,前提!$A$12:$A$51,TRIM($A25),前提!$C$12:$C$51,"共通")+SUMIFS(前提!$N$12:$N$51,前提!$A$12:$A$51,TRIM($A25),前提!$C$12:$C$51,$B$3))</f>
        <v>0</v>
      </c>
      <c r="N25" s="24">
        <f>-$B$10*(SUMIFS(前提!$O$12:$O$51,前提!$A$12:$A$51,TRIM($A25),前提!$C$12:$C$51,"共通")+SUMIFS(前提!$O$12:$O$51,前提!$A$12:$A$51,TRIM($A25),前提!$C$12:$C$51,$B$3))</f>
        <v>0</v>
      </c>
      <c r="O25" s="24">
        <f>-$B$10*(SUMIFS(前提!$P$12:$P$51,前提!$A$12:$A$51,TRIM($A25),前提!$C$12:$C$51,"共通")+SUMIFS(前提!$P$12:$P$51,前提!$A$12:$A$51,TRIM($A25),前提!$C$12:$C$51,$B$3))</f>
        <v>0</v>
      </c>
      <c r="P25" s="24">
        <f>-$B$10*(SUMIFS(前提!$Q$12:$Q$51,前提!$A$12:$A$51,TRIM($A25),前提!$C$12:$C$51,"共通")+SUMIFS(前提!$Q$12:$Q$51,前提!$A$12:$A$51,TRIM($A25),前提!$C$12:$C$51,$B$3))</f>
        <v>0</v>
      </c>
      <c r="Q25" s="24">
        <f>-$B$10*(SUMIFS(前提!$R$12:$R$51,前提!$A$12:$A$51,TRIM($A25),前提!$C$12:$C$51,"共通")+SUMIFS(前提!$R$12:$R$51,前提!$A$12:$A$51,TRIM($A25),前提!$C$12:$C$51,$B$3))</f>
        <v>0</v>
      </c>
      <c r="R25" s="24">
        <f>-$B$10*(SUMIFS(前提!$S$12:$S$51,前提!$A$12:$A$51,TRIM($A25),前提!$C$12:$C$51,"共通")+SUMIFS(前提!$S$12:$S$51,前提!$A$12:$A$51,TRIM($A25),前提!$C$12:$C$51,$B$3))</f>
        <v>0</v>
      </c>
      <c r="S25" s="24">
        <f>SUM(C25:R25)</f>
        <v>0.0</v>
      </c>
    </row>
    <row r="26">
      <c r="A26" s="6" t="inlineStr">
        <is>
          <t xml:space="preserve">　エーステイスト</t>
        </is>
      </c>
      <c r="C26" s="24">
        <f>-$B$11*(SUMIFS(前提!$D$12:$D$51,前提!$A$12:$A$51,TRIM($A26),前提!$C$12:$C$51,"共通")+SUMIFS(前提!$D$12:$D$51,前提!$A$12:$A$51,TRIM($A26),前提!$C$12:$C$51,$B$3))</f>
        <v>0</v>
      </c>
      <c r="D26" s="24">
        <f>-$B$11*(SUMIFS(前提!$E$12:$E$51,前提!$A$12:$A$51,TRIM($A26),前提!$C$12:$C$51,"共通")+SUMIFS(前提!$E$12:$E$51,前提!$A$12:$A$51,TRIM($A26),前提!$C$12:$C$51,$B$3))</f>
        <v>-2.75</v>
      </c>
      <c r="E26" s="24">
        <f>-$B$11*(SUMIFS(前提!$F$12:$F$51,前提!$A$12:$A$51,TRIM($A26),前提!$C$12:$C$51,"共通")+SUMIFS(前提!$F$12:$F$51,前提!$A$12:$A$51,TRIM($A26),前提!$C$12:$C$51,$B$3))</f>
        <v>-2.0</v>
      </c>
      <c r="F26" s="24">
        <f>-$B$11*(SUMIFS(前提!$G$12:$G$51,前提!$A$12:$A$51,TRIM($A26),前提!$C$12:$C$51,"共通")+SUMIFS(前提!$G$12:$G$51,前提!$A$12:$A$51,TRIM($A26),前提!$C$12:$C$51,$B$3))</f>
        <v>-69.75</v>
      </c>
      <c r="G26" s="24">
        <f>-$B$11*(SUMIFS(前提!$H$12:$H$51,前提!$A$12:$A$51,TRIM($A26),前提!$C$12:$C$51,"共通")+SUMIFS(前提!$H$12:$H$51,前提!$A$12:$A$51,TRIM($A26),前提!$C$12:$C$51,$B$3))</f>
        <v>0</v>
      </c>
      <c r="H26" s="24">
        <f>-$B$11*(SUMIFS(前提!$I$12:$I$51,前提!$A$12:$A$51,TRIM($A26),前提!$C$12:$C$51,"共通")+SUMIFS(前提!$I$12:$I$51,前提!$A$12:$A$51,TRIM($A26),前提!$C$12:$C$51,$B$3))</f>
        <v>0</v>
      </c>
      <c r="I26" s="24">
        <f>-$B$11*(SUMIFS(前提!$J$12:$J$51,前提!$A$12:$A$51,TRIM($A26),前提!$C$12:$C$51,"共通")+SUMIFS(前提!$J$12:$J$51,前提!$A$12:$A$51,TRIM($A26),前提!$C$12:$C$51,$B$3))</f>
        <v>0</v>
      </c>
      <c r="J26" s="24">
        <f>-$B$11*(SUMIFS(前提!$K$12:$K$51,前提!$A$12:$A$51,TRIM($A26),前提!$C$12:$C$51,"共通")+SUMIFS(前提!$K$12:$K$51,前提!$A$12:$A$51,TRIM($A26),前提!$C$12:$C$51,$B$3))</f>
        <v>0</v>
      </c>
      <c r="K26" s="24">
        <f>-$B$11*(SUMIFS(前提!$L$12:$L$51,前提!$A$12:$A$51,TRIM($A26),前提!$C$12:$C$51,"共通")+SUMIFS(前提!$L$12:$L$51,前提!$A$12:$A$51,TRIM($A26),前提!$C$12:$C$51,$B$3))</f>
        <v>0</v>
      </c>
      <c r="L26" s="24">
        <f>-$B$11*(SUMIFS(前提!$M$12:$M$51,前提!$A$12:$A$51,TRIM($A26),前提!$C$12:$C$51,"共通")+SUMIFS(前提!$M$12:$M$51,前提!$A$12:$A$51,TRIM($A26),前提!$C$12:$C$51,$B$3))</f>
        <v>0</v>
      </c>
      <c r="M26" s="24">
        <f>-$B$11*(SUMIFS(前提!$N$12:$N$51,前提!$A$12:$A$51,TRIM($A26),前提!$C$12:$C$51,"共通")+SUMIFS(前提!$N$12:$N$51,前提!$A$12:$A$51,TRIM($A26),前提!$C$12:$C$51,$B$3))</f>
        <v>0</v>
      </c>
      <c r="N26" s="24">
        <f>-$B$11*(SUMIFS(前提!$O$12:$O$51,前提!$A$12:$A$51,TRIM($A26),前提!$C$12:$C$51,"共通")+SUMIFS(前提!$O$12:$O$51,前提!$A$12:$A$51,TRIM($A26),前提!$C$12:$C$51,$B$3))</f>
        <v>0</v>
      </c>
      <c r="O26" s="24">
        <f>-$B$11*(SUMIFS(前提!$P$12:$P$51,前提!$A$12:$A$51,TRIM($A26),前提!$C$12:$C$51,"共通")+SUMIFS(前提!$P$12:$P$51,前提!$A$12:$A$51,TRIM($A26),前提!$C$12:$C$51,$B$3))</f>
        <v>0</v>
      </c>
      <c r="P26" s="24">
        <f>-$B$11*(SUMIFS(前提!$Q$12:$Q$51,前提!$A$12:$A$51,TRIM($A26),前提!$C$12:$C$51,"共通")+SUMIFS(前提!$Q$12:$Q$51,前提!$A$12:$A$51,TRIM($A26),前提!$C$12:$C$51,$B$3))</f>
        <v>0</v>
      </c>
      <c r="Q26" s="24">
        <f>-$B$11*(SUMIFS(前提!$R$12:$R$51,前提!$A$12:$A$51,TRIM($A26),前提!$C$12:$C$51,"共通")+SUMIFS(前提!$R$12:$R$51,前提!$A$12:$A$51,TRIM($A26),前提!$C$12:$C$51,$B$3))</f>
        <v>0</v>
      </c>
      <c r="R26" s="24">
        <f>-$B$11*(SUMIFS(前提!$S$12:$S$51,前提!$A$12:$A$51,TRIM($A26),前提!$C$12:$C$51,"共通")+SUMIFS(前提!$S$12:$S$51,前提!$A$12:$A$51,TRIM($A26),前提!$C$12:$C$51,$B$3))</f>
        <v>0</v>
      </c>
      <c r="S26" s="24">
        <f>SUM(C26:R26)</f>
        <v>-74.5</v>
      </c>
    </row>
    <row r="27">
      <c r="A27" s="6" t="inlineStr">
        <is>
          <t xml:space="preserve">　日本経営センター</t>
        </is>
      </c>
      <c r="C27" s="24">
        <f>-$B$12*(SUMIFS(前提!$D$12:$D$51,前提!$A$12:$A$51,TRIM($A27),前提!$C$12:$C$51,"共通")+SUMIFS(前提!$D$12:$D$51,前提!$A$12:$A$51,TRIM($A27),前提!$C$12:$C$51,$B$3))</f>
        <v>0</v>
      </c>
      <c r="D27" s="24">
        <f>-$B$12*(SUMIFS(前提!$E$12:$E$51,前提!$A$12:$A$51,TRIM($A27),前提!$C$12:$C$51,"共通")+SUMIFS(前提!$E$12:$E$51,前提!$A$12:$A$51,TRIM($A27),前提!$C$12:$C$51,$B$3))</f>
        <v>0</v>
      </c>
      <c r="E27" s="24">
        <f>-$B$12*(SUMIFS(前提!$F$12:$F$51,前提!$A$12:$A$51,TRIM($A27),前提!$C$12:$C$51,"共通")+SUMIFS(前提!$F$12:$F$51,前提!$A$12:$A$51,TRIM($A27),前提!$C$12:$C$51,$B$3))</f>
        <v>0</v>
      </c>
      <c r="F27" s="24">
        <f>-$B$12*(SUMIFS(前提!$G$12:$G$51,前提!$A$12:$A$51,TRIM($A27),前提!$C$12:$C$51,"共通")+SUMIFS(前提!$G$12:$G$51,前提!$A$12:$A$51,TRIM($A27),前提!$C$12:$C$51,$B$3))</f>
        <v>0.0</v>
      </c>
      <c r="G27" s="24">
        <f>-$B$12*(SUMIFS(前提!$H$12:$H$51,前提!$A$12:$A$51,TRIM($A27),前提!$C$12:$C$51,"共通")+SUMIFS(前提!$H$12:$H$51,前提!$A$12:$A$51,TRIM($A27),前提!$C$12:$C$51,$B$3))</f>
        <v>0.0</v>
      </c>
      <c r="H27" s="24">
        <f>-$B$12*(SUMIFS(前提!$I$12:$I$51,前提!$A$12:$A$51,TRIM($A27),前提!$C$12:$C$51,"共通")+SUMIFS(前提!$I$12:$I$51,前提!$A$12:$A$51,TRIM($A27),前提!$C$12:$C$51,$B$3))</f>
        <v>0</v>
      </c>
      <c r="I27" s="24">
        <f>-$B$12*(SUMIFS(前提!$J$12:$J$51,前提!$A$12:$A$51,TRIM($A27),前提!$C$12:$C$51,"共通")+SUMIFS(前提!$J$12:$J$51,前提!$A$12:$A$51,TRIM($A27),前提!$C$12:$C$51,$B$3))</f>
        <v>0</v>
      </c>
      <c r="J27" s="24">
        <f>-$B$12*(SUMIFS(前提!$K$12:$K$51,前提!$A$12:$A$51,TRIM($A27),前提!$C$12:$C$51,"共通")+SUMIFS(前提!$K$12:$K$51,前提!$A$12:$A$51,TRIM($A27),前提!$C$12:$C$51,$B$3))</f>
        <v>0</v>
      </c>
      <c r="K27" s="24">
        <f>-$B$12*(SUMIFS(前提!$L$12:$L$51,前提!$A$12:$A$51,TRIM($A27),前提!$C$12:$C$51,"共通")+SUMIFS(前提!$L$12:$L$51,前提!$A$12:$A$51,TRIM($A27),前提!$C$12:$C$51,$B$3))</f>
        <v>0</v>
      </c>
      <c r="L27" s="24">
        <f>-$B$12*(SUMIFS(前提!$M$12:$M$51,前提!$A$12:$A$51,TRIM($A27),前提!$C$12:$C$51,"共通")+SUMIFS(前提!$M$12:$M$51,前提!$A$12:$A$51,TRIM($A27),前提!$C$12:$C$51,$B$3))</f>
        <v>0</v>
      </c>
      <c r="M27" s="24">
        <f>-$B$12*(SUMIFS(前提!$N$12:$N$51,前提!$A$12:$A$51,TRIM($A27),前提!$C$12:$C$51,"共通")+SUMIFS(前提!$N$12:$N$51,前提!$A$12:$A$51,TRIM($A27),前提!$C$12:$C$51,$B$3))</f>
        <v>0</v>
      </c>
      <c r="N27" s="24">
        <f>-$B$12*(SUMIFS(前提!$O$12:$O$51,前提!$A$12:$A$51,TRIM($A27),前提!$C$12:$C$51,"共通")+SUMIFS(前提!$O$12:$O$51,前提!$A$12:$A$51,TRIM($A27),前提!$C$12:$C$51,$B$3))</f>
        <v>0</v>
      </c>
      <c r="O27" s="24">
        <f>-$B$12*(SUMIFS(前提!$P$12:$P$51,前提!$A$12:$A$51,TRIM($A27),前提!$C$12:$C$51,"共通")+SUMIFS(前提!$P$12:$P$51,前提!$A$12:$A$51,TRIM($A27),前提!$C$12:$C$51,$B$3))</f>
        <v>0</v>
      </c>
      <c r="P27" s="24">
        <f>-$B$12*(SUMIFS(前提!$Q$12:$Q$51,前提!$A$12:$A$51,TRIM($A27),前提!$C$12:$C$51,"共通")+SUMIFS(前提!$Q$12:$Q$51,前提!$A$12:$A$51,TRIM($A27),前提!$C$12:$C$51,$B$3))</f>
        <v>0</v>
      </c>
      <c r="Q27" s="24">
        <f>-$B$12*(SUMIFS(前提!$R$12:$R$51,前提!$A$12:$A$51,TRIM($A27),前提!$C$12:$C$51,"共通")+SUMIFS(前提!$R$12:$R$51,前提!$A$12:$A$51,TRIM($A27),前提!$C$12:$C$51,$B$3))</f>
        <v>0</v>
      </c>
      <c r="R27" s="24">
        <f>-$B$12*(SUMIFS(前提!$S$12:$S$51,前提!$A$12:$A$51,TRIM($A27),前提!$C$12:$C$51,"共通")+SUMIFS(前提!$S$12:$S$51,前提!$A$12:$A$51,TRIM($A27),前提!$C$12:$C$51,$B$3))</f>
        <v>0</v>
      </c>
      <c r="S27" s="24">
        <f>SUM(C27:R27)</f>
        <v>0.0</v>
      </c>
    </row>
    <row r="28">
      <c r="A28" s="6" t="inlineStr">
        <is>
          <t xml:space="preserve">　セレサ</t>
        </is>
      </c>
      <c r="C28" s="24">
        <f>-$B$13*(SUMIFS(前提!$D$12:$D$51,前提!$A$12:$A$51,TRIM($A28),前提!$C$12:$C$51,"共通")+SUMIFS(前提!$D$12:$D$51,前提!$A$12:$A$51,TRIM($A28),前提!$C$12:$C$51,$B$3))</f>
        <v>0</v>
      </c>
      <c r="D28" s="24">
        <f>-$B$13*(SUMIFS(前提!$E$12:$E$51,前提!$A$12:$A$51,TRIM($A28),前提!$C$12:$C$51,"共通")+SUMIFS(前提!$E$12:$E$51,前提!$A$12:$A$51,TRIM($A28),前提!$C$12:$C$51,$B$3))</f>
        <v>0</v>
      </c>
      <c r="E28" s="24">
        <f>-$B$13*(SUMIFS(前提!$F$12:$F$51,前提!$A$12:$A$51,TRIM($A28),前提!$C$12:$C$51,"共通")+SUMIFS(前提!$F$12:$F$51,前提!$A$12:$A$51,TRIM($A28),前提!$C$12:$C$51,$B$3))</f>
        <v>0</v>
      </c>
      <c r="F28" s="24">
        <f>-$B$13*(SUMIFS(前提!$G$12:$G$51,前提!$A$12:$A$51,TRIM($A28),前提!$C$12:$C$51,"共通")+SUMIFS(前提!$G$12:$G$51,前提!$A$12:$A$51,TRIM($A28),前提!$C$12:$C$51,$B$3))</f>
        <v>0</v>
      </c>
      <c r="G28" s="24">
        <f>-$B$13*(SUMIFS(前提!$H$12:$H$51,前提!$A$12:$A$51,TRIM($A28),前提!$C$12:$C$51,"共通")+SUMIFS(前提!$H$12:$H$51,前提!$A$12:$A$51,TRIM($A28),前提!$C$12:$C$51,$B$3))</f>
        <v>0</v>
      </c>
      <c r="H28" s="24">
        <f>-$B$13*(SUMIFS(前提!$I$12:$I$51,前提!$A$12:$A$51,TRIM($A28),前提!$C$12:$C$51,"共通")+SUMIFS(前提!$I$12:$I$51,前提!$A$12:$A$51,TRIM($A28),前提!$C$12:$C$51,$B$3))</f>
        <v>0.0</v>
      </c>
      <c r="I28" s="24">
        <f>-$B$13*(SUMIFS(前提!$J$12:$J$51,前提!$A$12:$A$51,TRIM($A28),前提!$C$12:$C$51,"共通")+SUMIFS(前提!$J$12:$J$51,前提!$A$12:$A$51,TRIM($A28),前提!$C$12:$C$51,$B$3))</f>
        <v>0.0</v>
      </c>
      <c r="J28" s="24">
        <f>-$B$13*(SUMIFS(前提!$K$12:$K$51,前提!$A$12:$A$51,TRIM($A28),前提!$C$12:$C$51,"共通")+SUMIFS(前提!$K$12:$K$51,前提!$A$12:$A$51,TRIM($A28),前提!$C$12:$C$51,$B$3))</f>
        <v>0</v>
      </c>
      <c r="K28" s="24">
        <f>-$B$13*(SUMIFS(前提!$L$12:$L$51,前提!$A$12:$A$51,TRIM($A28),前提!$C$12:$C$51,"共通")+SUMIFS(前提!$L$12:$L$51,前提!$A$12:$A$51,TRIM($A28),前提!$C$12:$C$51,$B$3))</f>
        <v>0</v>
      </c>
      <c r="L28" s="24">
        <f>-$B$13*(SUMIFS(前提!$M$12:$M$51,前提!$A$12:$A$51,TRIM($A28),前提!$C$12:$C$51,"共通")+SUMIFS(前提!$M$12:$M$51,前提!$A$12:$A$51,TRIM($A28),前提!$C$12:$C$51,$B$3))</f>
        <v>0</v>
      </c>
      <c r="M28" s="24">
        <f>-$B$13*(SUMIFS(前提!$N$12:$N$51,前提!$A$12:$A$51,TRIM($A28),前提!$C$12:$C$51,"共通")+SUMIFS(前提!$N$12:$N$51,前提!$A$12:$A$51,TRIM($A28),前提!$C$12:$C$51,$B$3))</f>
        <v>0</v>
      </c>
      <c r="N28" s="24">
        <f>-$B$13*(SUMIFS(前提!$O$12:$O$51,前提!$A$12:$A$51,TRIM($A28),前提!$C$12:$C$51,"共通")+SUMIFS(前提!$O$12:$O$51,前提!$A$12:$A$51,TRIM($A28),前提!$C$12:$C$51,$B$3))</f>
        <v>0</v>
      </c>
      <c r="O28" s="24">
        <f>-$B$13*(SUMIFS(前提!$P$12:$P$51,前提!$A$12:$A$51,TRIM($A28),前提!$C$12:$C$51,"共通")+SUMIFS(前提!$P$12:$P$51,前提!$A$12:$A$51,TRIM($A28),前提!$C$12:$C$51,$B$3))</f>
        <v>0</v>
      </c>
      <c r="P28" s="24">
        <f>-$B$13*(SUMIFS(前提!$Q$12:$Q$51,前提!$A$12:$A$51,TRIM($A28),前提!$C$12:$C$51,"共通")+SUMIFS(前提!$Q$12:$Q$51,前提!$A$12:$A$51,TRIM($A28),前提!$C$12:$C$51,$B$3))</f>
        <v>0</v>
      </c>
      <c r="Q28" s="24">
        <f>-$B$13*(SUMIFS(前提!$R$12:$R$51,前提!$A$12:$A$51,TRIM($A28),前提!$C$12:$C$51,"共通")+SUMIFS(前提!$R$12:$R$51,前提!$A$12:$A$51,TRIM($A28),前提!$C$12:$C$51,$B$3))</f>
        <v>0</v>
      </c>
      <c r="R28" s="24">
        <f>-$B$13*(SUMIFS(前提!$S$12:$S$51,前提!$A$12:$A$51,TRIM($A28),前提!$C$12:$C$51,"共通")+SUMIFS(前提!$S$12:$S$51,前提!$A$12:$A$51,TRIM($A28),前提!$C$12:$C$51,$B$3))</f>
        <v>0</v>
      </c>
      <c r="S28" s="24">
        <f>SUM(C28:R28)</f>
        <v>0.0</v>
      </c>
    </row>
    <row r="29">
      <c r="A29" s="6" t="inlineStr">
        <is>
          <t xml:space="preserve">　シルバーメディカル</t>
        </is>
      </c>
      <c r="C29" s="24">
        <f>-$B$14*(SUMIFS(前提!$D$12:$D$51,前提!$A$12:$A$51,TRIM($A29),前提!$C$12:$C$51,"共通")+SUMIFS(前提!$D$12:$D$51,前提!$A$12:$A$51,TRIM($A29),前提!$C$12:$C$51,$B$3))</f>
        <v>0</v>
      </c>
      <c r="D29" s="24">
        <f>-$B$14*(SUMIFS(前提!$E$12:$E$51,前提!$A$12:$A$51,TRIM($A29),前提!$C$12:$C$51,"共通")+SUMIFS(前提!$E$12:$E$51,前提!$A$12:$A$51,TRIM($A29),前提!$C$12:$C$51,$B$3))</f>
        <v>-1.1</v>
      </c>
      <c r="E29" s="24">
        <f>-$B$14*(SUMIFS(前提!$F$12:$F$51,前提!$A$12:$A$51,TRIM($A29),前提!$C$12:$C$51,"共通")+SUMIFS(前提!$F$12:$F$51,前提!$A$12:$A$51,TRIM($A29),前提!$C$12:$C$51,$B$3))</f>
        <v>-5.0</v>
      </c>
      <c r="F29" s="24">
        <f>-$B$14*(SUMIFS(前提!$G$12:$G$51,前提!$A$12:$A$51,TRIM($A29),前提!$C$12:$C$51,"共通")+SUMIFS(前提!$G$12:$G$51,前提!$A$12:$A$51,TRIM($A29),前提!$C$12:$C$51,$B$3))</f>
        <v>-114.0</v>
      </c>
      <c r="G29" s="24">
        <f>-$B$14*(SUMIFS(前提!$H$12:$H$51,前提!$A$12:$A$51,TRIM($A29),前提!$C$12:$C$51,"共通")+SUMIFS(前提!$H$12:$H$51,前提!$A$12:$A$51,TRIM($A29),前提!$C$12:$C$51,$B$3))</f>
        <v>0</v>
      </c>
      <c r="H29" s="24">
        <f>-$B$14*(SUMIFS(前提!$I$12:$I$51,前提!$A$12:$A$51,TRIM($A29),前提!$C$12:$C$51,"共通")+SUMIFS(前提!$I$12:$I$51,前提!$A$12:$A$51,TRIM($A29),前提!$C$12:$C$51,$B$3))</f>
        <v>0</v>
      </c>
      <c r="I29" s="24">
        <f>-$B$14*(SUMIFS(前提!$J$12:$J$51,前提!$A$12:$A$51,TRIM($A29),前提!$C$12:$C$51,"共通")+SUMIFS(前提!$J$12:$J$51,前提!$A$12:$A$51,TRIM($A29),前提!$C$12:$C$51,$B$3))</f>
        <v>0</v>
      </c>
      <c r="J29" s="24">
        <f>-$B$14*(SUMIFS(前提!$K$12:$K$51,前提!$A$12:$A$51,TRIM($A29),前提!$C$12:$C$51,"共通")+SUMIFS(前提!$K$12:$K$51,前提!$A$12:$A$51,TRIM($A29),前提!$C$12:$C$51,$B$3))</f>
        <v>0</v>
      </c>
      <c r="K29" s="24">
        <f>-$B$14*(SUMIFS(前提!$L$12:$L$51,前提!$A$12:$A$51,TRIM($A29),前提!$C$12:$C$51,"共通")+SUMIFS(前提!$L$12:$L$51,前提!$A$12:$A$51,TRIM($A29),前提!$C$12:$C$51,$B$3))</f>
        <v>0</v>
      </c>
      <c r="L29" s="24">
        <f>-$B$14*(SUMIFS(前提!$M$12:$M$51,前提!$A$12:$A$51,TRIM($A29),前提!$C$12:$C$51,"共通")+SUMIFS(前提!$M$12:$M$51,前提!$A$12:$A$51,TRIM($A29),前提!$C$12:$C$51,$B$3))</f>
        <v>0</v>
      </c>
      <c r="M29" s="24">
        <f>-$B$14*(SUMIFS(前提!$N$12:$N$51,前提!$A$12:$A$51,TRIM($A29),前提!$C$12:$C$51,"共通")+SUMIFS(前提!$N$12:$N$51,前提!$A$12:$A$51,TRIM($A29),前提!$C$12:$C$51,$B$3))</f>
        <v>0</v>
      </c>
      <c r="N29" s="24">
        <f>-$B$14*(SUMIFS(前提!$O$12:$O$51,前提!$A$12:$A$51,TRIM($A29),前提!$C$12:$C$51,"共通")+SUMIFS(前提!$O$12:$O$51,前提!$A$12:$A$51,TRIM($A29),前提!$C$12:$C$51,$B$3))</f>
        <v>0</v>
      </c>
      <c r="O29" s="24">
        <f>-$B$14*(SUMIFS(前提!$P$12:$P$51,前提!$A$12:$A$51,TRIM($A29),前提!$C$12:$C$51,"共通")+SUMIFS(前提!$P$12:$P$51,前提!$A$12:$A$51,TRIM($A29),前提!$C$12:$C$51,$B$3))</f>
        <v>0</v>
      </c>
      <c r="P29" s="24">
        <f>-$B$14*(SUMIFS(前提!$Q$12:$Q$51,前提!$A$12:$A$51,TRIM($A29),前提!$C$12:$C$51,"共通")+SUMIFS(前提!$Q$12:$Q$51,前提!$A$12:$A$51,TRIM($A29),前提!$C$12:$C$51,$B$3))</f>
        <v>0</v>
      </c>
      <c r="Q29" s="24">
        <f>-$B$14*(SUMIFS(前提!$R$12:$R$51,前提!$A$12:$A$51,TRIM($A29),前提!$C$12:$C$51,"共通")+SUMIFS(前提!$R$12:$R$51,前提!$A$12:$A$51,TRIM($A29),前提!$C$12:$C$51,$B$3))</f>
        <v>0</v>
      </c>
      <c r="R29" s="24">
        <f>-$B$14*(SUMIFS(前提!$S$12:$S$51,前提!$A$12:$A$51,TRIM($A29),前提!$C$12:$C$51,"共通")+SUMIFS(前提!$S$12:$S$51,前提!$A$12:$A$51,TRIM($A29),前提!$C$12:$C$51,$B$3))</f>
        <v>0</v>
      </c>
      <c r="S29" s="24">
        <f>SUM(C29:R29)</f>
        <v>-120.1</v>
      </c>
    </row>
    <row r="30">
      <c r="A30" s="4" t="inlineStr">
        <is>
          <t>案件支出 合計</t>
        </is>
      </c>
      <c r="C30" s="21">
        <f>SUM(C21:C29)</f>
        <v>-30.0</v>
      </c>
      <c r="D30" s="21">
        <f>SUM(D21:D29)</f>
        <v>-20.95</v>
      </c>
      <c r="E30" s="21">
        <f>SUM(E21:E29)</f>
        <v>-69.5</v>
      </c>
      <c r="F30" s="21">
        <f>SUM(F21:F29)</f>
        <v>-195.75</v>
      </c>
      <c r="G30" s="21">
        <f>SUM(G21:G29)</f>
        <v>0.0</v>
      </c>
      <c r="H30" s="21">
        <f>SUM(H21:H29)</f>
        <v>0.0</v>
      </c>
      <c r="I30" s="21">
        <f>SUM(I21:I29)</f>
        <v>-12.0</v>
      </c>
      <c r="J30" s="21">
        <f>SUM(J21:J29)</f>
        <v>0</v>
      </c>
      <c r="K30" s="21">
        <f>SUM(K21:K29)</f>
        <v>0</v>
      </c>
      <c r="L30" s="21">
        <f>SUM(L21:L29)</f>
        <v>0</v>
      </c>
      <c r="M30" s="21">
        <f>SUM(M21:M29)</f>
        <v>0</v>
      </c>
      <c r="N30" s="21">
        <f>SUM(N21:N29)</f>
        <v>0</v>
      </c>
      <c r="O30" s="21">
        <f>SUM(O21:O29)</f>
        <v>0</v>
      </c>
      <c r="P30" s="21">
        <f>SUM(P21:P29)</f>
        <v>0</v>
      </c>
      <c r="Q30" s="21">
        <f>SUM(Q21:Q29)</f>
        <v>0</v>
      </c>
      <c r="R30" s="21">
        <f>SUM(R21:R29)</f>
        <v>0</v>
      </c>
      <c r="S30" s="21">
        <f>SUM(C30:R30)</f>
        <v>-328.2</v>
      </c>
    </row>
    <row r="31">
      <c r="A31" s="4" t="inlineStr">
        <is>
          <t>期末現預金</t>
        </is>
      </c>
      <c r="C31" s="22">
        <f>C18+C19+C30</f>
        <v>329.3</v>
      </c>
      <c r="D31" s="22">
        <f>D18+D19+D30</f>
        <v>301.35</v>
      </c>
      <c r="E31" s="22">
        <f>E18+E19+E30</f>
        <v>224.85</v>
      </c>
      <c r="F31" s="22">
        <f>F18+F19+F30</f>
        <v>22.1</v>
      </c>
      <c r="G31" s="22">
        <f>G18+G19+G30</f>
        <v>17.1</v>
      </c>
      <c r="H31" s="22">
        <f>H18+H19+H30</f>
        <v>12.1</v>
      </c>
      <c r="I31" s="22">
        <f>I18+I19+I30</f>
        <v>-4.9</v>
      </c>
      <c r="J31" s="22">
        <f>J18+J19+J30</f>
        <v>-9.9</v>
      </c>
      <c r="K31" s="22">
        <f>K18+K19+K30</f>
        <v>-14.9</v>
      </c>
      <c r="L31" s="22">
        <f>L18+L19+L30</f>
        <v>-19.9</v>
      </c>
      <c r="M31" s="22">
        <f>M18+M19+M30</f>
        <v>-24.9</v>
      </c>
      <c r="N31" s="22">
        <f>N18+N19+N30</f>
        <v>-29.9</v>
      </c>
      <c r="O31" s="22">
        <f>O18+O19+O30</f>
        <v>-34.9</v>
      </c>
      <c r="P31" s="22">
        <f>P18+P19+P30</f>
        <v>-39.9</v>
      </c>
      <c r="Q31" s="22">
        <f>Q18+Q19+Q30</f>
        <v>-44.9</v>
      </c>
      <c r="R31" s="22">
        <f>R18+R19+R30</f>
        <v>-49.9</v>
      </c>
      <c r="S31" s="22" t="n"/>
    </row>
    <row r="32">
      <c r="A32" s="6" t="inlineStr">
        <is>
          <t>安全水準との差</t>
        </is>
      </c>
      <c r="C32" s="24">
        <f>C31-前提!$B$4</f>
        <v>229.3</v>
      </c>
      <c r="D32" s="24">
        <f>D31-前提!$B$4</f>
        <v>201.35</v>
      </c>
      <c r="E32" s="24">
        <f>E31-前提!$B$4</f>
        <v>124.85</v>
      </c>
      <c r="F32" s="24">
        <f>F31-前提!$B$4</f>
        <v>-77.9</v>
      </c>
      <c r="G32" s="24">
        <f>G31-前提!$B$4</f>
        <v>-82.9</v>
      </c>
      <c r="H32" s="24">
        <f>H31-前提!$B$4</f>
        <v>-87.9</v>
      </c>
      <c r="I32" s="24">
        <f>I31-前提!$B$4</f>
        <v>-104.9</v>
      </c>
      <c r="J32" s="24">
        <f>J31-前提!$B$4</f>
        <v>-109.9</v>
      </c>
      <c r="K32" s="24">
        <f>K31-前提!$B$4</f>
        <v>-114.9</v>
      </c>
      <c r="L32" s="24">
        <f>L31-前提!$B$4</f>
        <v>-119.9</v>
      </c>
      <c r="M32" s="24">
        <f>M31-前提!$B$4</f>
        <v>-124.9</v>
      </c>
      <c r="N32" s="24">
        <f>N31-前提!$B$4</f>
        <v>-129.9</v>
      </c>
      <c r="O32" s="24">
        <f>O31-前提!$B$4</f>
        <v>-134.9</v>
      </c>
      <c r="P32" s="24">
        <f>P31-前提!$B$4</f>
        <v>-139.9</v>
      </c>
      <c r="Q32" s="24">
        <f>Q31-前提!$B$4</f>
        <v>-144.9</v>
      </c>
      <c r="R32" s="24">
        <f>R31-前提!$B$4</f>
        <v>-149.9</v>
      </c>
      <c r="S32" s="24" t="n"/>
    </row>
    <row r="33">
      <c r="A33" s="4" t="inlineStr">
        <is>
          <t>必要調達額（安全水準を維持するための不足額）</t>
        </is>
      </c>
      <c r="C33" s="25">
        <f>MAX(0,前提!$B$4-C31)</f>
        <v>0</v>
      </c>
      <c r="D33" s="25">
        <f>MAX(0,前提!$B$4-D31)</f>
        <v>0</v>
      </c>
      <c r="E33" s="25">
        <f>MAX(0,前提!$B$4-E31)</f>
        <v>0</v>
      </c>
      <c r="F33" s="25">
        <f>MAX(0,前提!$B$4-F31)</f>
        <v>77.9</v>
      </c>
      <c r="G33" s="25">
        <f>MAX(0,前提!$B$4-G31)</f>
        <v>82.9</v>
      </c>
      <c r="H33" s="25">
        <f>MAX(0,前提!$B$4-H31)</f>
        <v>87.9</v>
      </c>
      <c r="I33" s="25">
        <f>MAX(0,前提!$B$4-I31)</f>
        <v>104.9</v>
      </c>
      <c r="J33" s="25">
        <f>MAX(0,前提!$B$4-J31)</f>
        <v>109.9</v>
      </c>
      <c r="K33" s="25">
        <f>MAX(0,前提!$B$4-K31)</f>
        <v>114.9</v>
      </c>
      <c r="L33" s="25">
        <f>MAX(0,前提!$B$4-L31)</f>
        <v>119.9</v>
      </c>
      <c r="M33" s="25">
        <f>MAX(0,前提!$B$4-M31)</f>
        <v>124.9</v>
      </c>
      <c r="N33" s="25">
        <f>MAX(0,前提!$B$4-N31)</f>
        <v>129.9</v>
      </c>
      <c r="O33" s="25">
        <f>MAX(0,前提!$B$4-O31)</f>
        <v>134.9</v>
      </c>
      <c r="P33" s="25">
        <f>MAX(0,前提!$B$4-P31)</f>
        <v>139.9</v>
      </c>
      <c r="Q33" s="25">
        <f>MAX(0,前提!$B$4-Q31)</f>
        <v>144.9</v>
      </c>
      <c r="R33" s="25">
        <f>MAX(0,前提!$B$4-R31)</f>
        <v>149.9</v>
      </c>
      <c r="S33" s="25" t="n"/>
    </row>
    <row r="34">
      <c r="A34" s="6" t="inlineStr">
        <is>
          <t>累計案件支出</t>
        </is>
      </c>
      <c r="C34" s="24">
        <f>-SUM($C30:C30)</f>
        <v>30.0</v>
      </c>
      <c r="D34" s="24">
        <f>-SUM($C30:D30)</f>
        <v>50.95</v>
      </c>
      <c r="E34" s="24">
        <f>-SUM($C30:E30)</f>
        <v>120.45</v>
      </c>
      <c r="F34" s="24">
        <f>-SUM($C30:F30)</f>
        <v>316.2</v>
      </c>
      <c r="G34" s="24">
        <f>-SUM($C30:G30)</f>
        <v>316.2</v>
      </c>
      <c r="H34" s="24">
        <f>-SUM($C30:H30)</f>
        <v>316.2</v>
      </c>
      <c r="I34" s="24">
        <f>-SUM($C30:I30)</f>
        <v>328.2</v>
      </c>
      <c r="J34" s="24">
        <f>-SUM($C30:J30)</f>
        <v>328.2</v>
      </c>
      <c r="K34" s="24">
        <f>-SUM($C30:K30)</f>
        <v>328.2</v>
      </c>
      <c r="L34" s="24">
        <f>-SUM($C30:L30)</f>
        <v>328.2</v>
      </c>
      <c r="M34" s="24">
        <f>-SUM($C30:M30)</f>
        <v>328.2</v>
      </c>
      <c r="N34" s="24">
        <f>-SUM($C30:N30)</f>
        <v>328.2</v>
      </c>
      <c r="O34" s="24">
        <f>-SUM($C30:O30)</f>
        <v>328.2</v>
      </c>
      <c r="P34" s="24">
        <f>-SUM($C30:P30)</f>
        <v>328.2</v>
      </c>
      <c r="Q34" s="24">
        <f>-SUM($C30:Q30)</f>
        <v>328.2</v>
      </c>
      <c r="R34" s="24">
        <f>-SUM($C30:R30)</f>
        <v>328.2</v>
      </c>
      <c r="S34" s="24" t="n"/>
    </row>
    <row r="35">
      <c r="A35" s="6" t="inlineStr">
        <is>
          <t>安全水準割込み（1＝割込）</t>
        </is>
      </c>
      <c r="C35" s="24">
        <f>IF(C31&lt;前提!$B$4,1,0)</f>
        <v>0</v>
      </c>
      <c r="D35" s="24">
        <f>IF(D31&lt;前提!$B$4,1,0)</f>
        <v>0</v>
      </c>
      <c r="E35" s="24">
        <f>IF(E31&lt;前提!$B$4,1,0)</f>
        <v>0</v>
      </c>
      <c r="F35" s="24">
        <f>IF(F31&lt;前提!$B$4,1,0)</f>
        <v>1</v>
      </c>
      <c r="G35" s="24">
        <f>IF(G31&lt;前提!$B$4,1,0)</f>
        <v>1</v>
      </c>
      <c r="H35" s="24">
        <f>IF(H31&lt;前提!$B$4,1,0)</f>
        <v>1</v>
      </c>
      <c r="I35" s="24">
        <f>IF(I31&lt;前提!$B$4,1,0)</f>
        <v>1</v>
      </c>
      <c r="J35" s="24">
        <f>IF(J31&lt;前提!$B$4,1,0)</f>
        <v>1</v>
      </c>
      <c r="K35" s="24">
        <f>IF(K31&lt;前提!$B$4,1,0)</f>
        <v>1</v>
      </c>
      <c r="L35" s="24">
        <f>IF(L31&lt;前提!$B$4,1,0)</f>
        <v>1</v>
      </c>
      <c r="M35" s="24">
        <f>IF(M31&lt;前提!$B$4,1,0)</f>
        <v>1</v>
      </c>
      <c r="N35" s="24">
        <f>IF(N31&lt;前提!$B$4,1,0)</f>
        <v>1</v>
      </c>
      <c r="O35" s="24">
        <f>IF(O31&lt;前提!$B$4,1,0)</f>
        <v>1</v>
      </c>
      <c r="P35" s="24">
        <f>IF(P31&lt;前提!$B$4,1,0)</f>
        <v>1</v>
      </c>
      <c r="Q35" s="24">
        <f>IF(Q31&lt;前提!$B$4,1,0)</f>
        <v>1</v>
      </c>
      <c r="R35" s="24">
        <f>IF(R31&lt;前提!$B$4,1,0)</f>
        <v>1</v>
      </c>
      <c r="S35" s="24" t="n"/>
    </row>
    <row r="37">
      <c r="A37" s="4" t="inlineStr">
        <is>
          <t>Net Debt Capacity（連結・調達前）</t>
        </is>
      </c>
    </row>
    <row r="38">
      <c r="A38" s="6" t="inlineStr">
        <is>
          <t xml:space="preserve">　売掛金（既存＋クロージング後の案件）</t>
        </is>
      </c>
      <c r="C38" s="24">
        <f>前提!$B$60+SUMPRODUCT($B$6:$B$14,案件一覧!$N$4:$N$12,--(案件一覧!$M$4:$M$12&lt;=1))</f>
        <v>192.0</v>
      </c>
      <c r="D38" s="24">
        <f>前提!$B$60+SUMPRODUCT($B$6:$B$14,案件一覧!$N$4:$N$12,--(案件一覧!$M$4:$M$12&lt;=2))</f>
        <v>192.0</v>
      </c>
      <c r="E38" s="24">
        <f>前提!$B$60+SUMPRODUCT($B$6:$B$14,案件一覧!$N$4:$N$12,--(案件一覧!$M$4:$M$12&lt;=3))</f>
        <v>233.0</v>
      </c>
      <c r="F38" s="24">
        <f>前提!$B$60+SUMPRODUCT($B$6:$B$14,案件一覧!$N$4:$N$12,--(案件一覧!$M$4:$M$12&lt;=4))</f>
        <v>478.0</v>
      </c>
      <c r="G38" s="24">
        <f>前提!$B$60+SUMPRODUCT($B$6:$B$14,案件一覧!$N$4:$N$12,--(案件一覧!$M$4:$M$12&lt;=5))</f>
        <v>478.0</v>
      </c>
      <c r="H38" s="24">
        <f>前提!$B$60+SUMPRODUCT($B$6:$B$14,案件一覧!$N$4:$N$12,--(案件一覧!$M$4:$M$12&lt;=6))</f>
        <v>478.0</v>
      </c>
      <c r="I38" s="24">
        <f>前提!$B$60+SUMPRODUCT($B$6:$B$14,案件一覧!$N$4:$N$12,--(案件一覧!$M$4:$M$12&lt;=7))</f>
        <v>478.0</v>
      </c>
      <c r="J38" s="24">
        <f>前提!$B$60+SUMPRODUCT($B$6:$B$14,案件一覧!$N$4:$N$12,--(案件一覧!$M$4:$M$12&lt;=8))</f>
        <v>478.0</v>
      </c>
      <c r="K38" s="24">
        <f>前提!$B$60+SUMPRODUCT($B$6:$B$14,案件一覧!$N$4:$N$12,--(案件一覧!$M$4:$M$12&lt;=9))</f>
        <v>478.0</v>
      </c>
      <c r="L38" s="24">
        <f>前提!$B$60+SUMPRODUCT($B$6:$B$14,案件一覧!$N$4:$N$12,--(案件一覧!$M$4:$M$12&lt;=10))</f>
        <v>478.0</v>
      </c>
      <c r="M38" s="24">
        <f>前提!$B$60+SUMPRODUCT($B$6:$B$14,案件一覧!$N$4:$N$12,--(案件一覧!$M$4:$M$12&lt;=11))</f>
        <v>478.0</v>
      </c>
      <c r="N38" s="24">
        <f>前提!$B$60+SUMPRODUCT($B$6:$B$14,案件一覧!$N$4:$N$12,--(案件一覧!$M$4:$M$12&lt;=12))</f>
        <v>478.0</v>
      </c>
      <c r="O38" s="24">
        <f>前提!$B$60+SUMPRODUCT($B$6:$B$14,案件一覧!$N$4:$N$12,--(案件一覧!$M$4:$M$12&lt;=13))</f>
        <v>478.0</v>
      </c>
      <c r="P38" s="24">
        <f>前提!$B$60+SUMPRODUCT($B$6:$B$14,案件一覧!$N$4:$N$12,--(案件一覧!$M$4:$M$12&lt;=14))</f>
        <v>478.0</v>
      </c>
      <c r="Q38" s="24">
        <f>前提!$B$60+SUMPRODUCT($B$6:$B$14,案件一覧!$N$4:$N$12,--(案件一覧!$M$4:$M$12&lt;=15))</f>
        <v>478.0</v>
      </c>
      <c r="R38" s="24">
        <f>前提!$B$60+SUMPRODUCT($B$6:$B$14,案件一覧!$N$4:$N$12,--(案件一覧!$M$4:$M$12&lt;=16))</f>
        <v>478.0</v>
      </c>
      <c r="S38" s="24" t="n"/>
    </row>
    <row r="39">
      <c r="A39" s="6" t="inlineStr">
        <is>
          <t xml:space="preserve">　現預金（HD＋HT＋案件の残置現金）</t>
        </is>
      </c>
      <c r="C39" s="24">
        <f>C31+前提!D$57+SUMPRODUCT($B$6:$B$14,案件一覧!$O$4:$O$12,--(案件一覧!$M$4:$M$12&lt;=1))</f>
        <v>405.3</v>
      </c>
      <c r="D39" s="24">
        <f>D31+前提!E$57+SUMPRODUCT($B$6:$B$14,案件一覧!$O$4:$O$12,--(案件一覧!$M$4:$M$12&lt;=2))</f>
        <v>377.4</v>
      </c>
      <c r="E39" s="24">
        <f>E31+前提!F$57+SUMPRODUCT($B$6:$B$14,案件一覧!$O$4:$O$12,--(案件一覧!$M$4:$M$12&lt;=3))</f>
        <v>328.9</v>
      </c>
      <c r="F39" s="24">
        <f>F31+前提!G$57+SUMPRODUCT($B$6:$B$14,案件一覧!$O$4:$O$12,--(案件一覧!$M$4:$M$12&lt;=4))</f>
        <v>166.1</v>
      </c>
      <c r="G39" s="24">
        <f>G31+前提!H$57+SUMPRODUCT($B$6:$B$14,案件一覧!$O$4:$O$12,--(案件一覧!$M$4:$M$12&lt;=5))</f>
        <v>165.1</v>
      </c>
      <c r="H39" s="24">
        <f>H31+前提!I$57+SUMPRODUCT($B$6:$B$14,案件一覧!$O$4:$O$12,--(案件一覧!$M$4:$M$12&lt;=6))</f>
        <v>160.1</v>
      </c>
      <c r="I39" s="24">
        <f>I31+前提!J$57+SUMPRODUCT($B$6:$B$14,案件一覧!$O$4:$O$12,--(案件一覧!$M$4:$M$12&lt;=7))</f>
        <v>143.1</v>
      </c>
      <c r="J39" s="24">
        <f>J31+前提!K$57+SUMPRODUCT($B$6:$B$14,案件一覧!$O$4:$O$12,--(案件一覧!$M$4:$M$12&lt;=8))</f>
        <v>138.1</v>
      </c>
      <c r="K39" s="24">
        <f>K31+前提!L$57+SUMPRODUCT($B$6:$B$14,案件一覧!$O$4:$O$12,--(案件一覧!$M$4:$M$12&lt;=9))</f>
        <v>133.1</v>
      </c>
      <c r="L39" s="24">
        <f>L31+前提!M$57+SUMPRODUCT($B$6:$B$14,案件一覧!$O$4:$O$12,--(案件一覧!$M$4:$M$12&lt;=10))</f>
        <v>128.1</v>
      </c>
      <c r="M39" s="24">
        <f>M31+前提!N$57+SUMPRODUCT($B$6:$B$14,案件一覧!$O$4:$O$12,--(案件一覧!$M$4:$M$12&lt;=11))</f>
        <v>123.1</v>
      </c>
      <c r="N39" s="24">
        <f>N31+前提!O$57+SUMPRODUCT($B$6:$B$14,案件一覧!$O$4:$O$12,--(案件一覧!$M$4:$M$12&lt;=12))</f>
        <v>118.1</v>
      </c>
      <c r="O39" s="24">
        <f>O31+前提!P$57+SUMPRODUCT($B$6:$B$14,案件一覧!$O$4:$O$12,--(案件一覧!$M$4:$M$12&lt;=13))</f>
        <v>113.1</v>
      </c>
      <c r="P39" s="24">
        <f>P31+前提!Q$57+SUMPRODUCT($B$6:$B$14,案件一覧!$O$4:$O$12,--(案件一覧!$M$4:$M$12&lt;=14))</f>
        <v>108.1</v>
      </c>
      <c r="Q39" s="24">
        <f>Q31+前提!R$57+SUMPRODUCT($B$6:$B$14,案件一覧!$O$4:$O$12,--(案件一覧!$M$4:$M$12&lt;=15))</f>
        <v>103.1</v>
      </c>
      <c r="R39" s="24">
        <f>R31+前提!S$57+SUMPRODUCT($B$6:$B$14,案件一覧!$O$4:$O$12,--(案件一覧!$M$4:$M$12&lt;=16))</f>
        <v>98.1</v>
      </c>
      <c r="S39" s="24" t="n"/>
    </row>
    <row r="40">
      <c r="A40" s="6" t="inlineStr">
        <is>
          <t xml:space="preserve">　調整後EBITDA年換算（オーガニック＋案件現状値）</t>
        </is>
      </c>
      <c r="C40" s="24">
        <f>前提!D$56+SUMPRODUCT($B$6:$B$14,案件一覧!$E$4:$E$12,--(案件一覧!$M$4:$M$12&lt;=1))</f>
        <v>32</v>
      </c>
      <c r="D40" s="24">
        <f>前提!E$56+SUMPRODUCT($B$6:$B$14,案件一覧!$E$4:$E$12,--(案件一覧!$M$4:$M$12&lt;=2))</f>
        <v>34</v>
      </c>
      <c r="E40" s="24">
        <f>前提!F$56+SUMPRODUCT($B$6:$B$14,案件一覧!$E$4:$E$12,--(案件一覧!$M$4:$M$12&lt;=3))</f>
        <v>75</v>
      </c>
      <c r="F40" s="24">
        <f>前提!G$56+SUMPRODUCT($B$6:$B$14,案件一覧!$E$4:$E$12,--(案件一覧!$M$4:$M$12&lt;=4))</f>
        <v>80</v>
      </c>
      <c r="G40" s="24">
        <f>前提!H$56+SUMPRODUCT($B$6:$B$14,案件一覧!$E$4:$E$12,--(案件一覧!$M$4:$M$12&lt;=5))</f>
        <v>101</v>
      </c>
      <c r="H40" s="24">
        <f>前提!I$56+SUMPRODUCT($B$6:$B$14,案件一覧!$E$4:$E$12,--(案件一覧!$M$4:$M$12&lt;=6))</f>
        <v>101</v>
      </c>
      <c r="I40" s="24">
        <f>前提!J$56+SUMPRODUCT($B$6:$B$14,案件一覧!$E$4:$E$12,--(案件一覧!$M$4:$M$12&lt;=7))</f>
        <v>101</v>
      </c>
      <c r="J40" s="24">
        <f>前提!K$56+SUMPRODUCT($B$6:$B$14,案件一覧!$E$4:$E$12,--(案件一覧!$M$4:$M$12&lt;=8))</f>
        <v>101</v>
      </c>
      <c r="K40" s="24">
        <f>前提!L$56+SUMPRODUCT($B$6:$B$14,案件一覧!$E$4:$E$12,--(案件一覧!$M$4:$M$12&lt;=9))</f>
        <v>101</v>
      </c>
      <c r="L40" s="24">
        <f>前提!M$56+SUMPRODUCT($B$6:$B$14,案件一覧!$E$4:$E$12,--(案件一覧!$M$4:$M$12&lt;=10))</f>
        <v>101</v>
      </c>
      <c r="M40" s="24">
        <f>前提!N$56+SUMPRODUCT($B$6:$B$14,案件一覧!$E$4:$E$12,--(案件一覧!$M$4:$M$12&lt;=11))</f>
        <v>101</v>
      </c>
      <c r="N40" s="24">
        <f>前提!O$56+SUMPRODUCT($B$6:$B$14,案件一覧!$E$4:$E$12,--(案件一覧!$M$4:$M$12&lt;=12))</f>
        <v>101</v>
      </c>
      <c r="O40" s="24">
        <f>前提!P$56+SUMPRODUCT($B$6:$B$14,案件一覧!$E$4:$E$12,--(案件一覧!$M$4:$M$12&lt;=13))</f>
        <v>101</v>
      </c>
      <c r="P40" s="24">
        <f>前提!Q$56+SUMPRODUCT($B$6:$B$14,案件一覧!$E$4:$E$12,--(案件一覧!$M$4:$M$12&lt;=14))</f>
        <v>101</v>
      </c>
      <c r="Q40" s="24">
        <f>前提!R$56+SUMPRODUCT($B$6:$B$14,案件一覧!$E$4:$E$12,--(案件一覧!$M$4:$M$12&lt;=15))</f>
        <v>101</v>
      </c>
      <c r="R40" s="24">
        <f>前提!S$56+SUMPRODUCT($B$6:$B$14,案件一覧!$E$4:$E$12,--(案件一覧!$M$4:$M$12&lt;=16))</f>
        <v>101</v>
      </c>
      <c r="S40" s="24" t="n"/>
    </row>
    <row r="41">
      <c r="A41" s="6" t="inlineStr">
        <is>
          <t xml:space="preserve">　有利子負債（既存＋承継＋対象会社借入・最小化時）</t>
        </is>
      </c>
      <c r="C41" s="24">
        <f>前提!D$58+SUMPRODUCT($B$6:$B$14,案件一覧!$G$4:$G$12,--(案件一覧!$M$4:$M$12&lt;=1))+IF($B$3="最小化",SUMPRODUCT($B$6:$B$14,案件一覧!$P$4:$P$12,--(案件一覧!$Q$4:$Q$12&lt;=1)),0)</f>
        <v>410.0</v>
      </c>
      <c r="D41" s="24">
        <f>前提!E$58+SUMPRODUCT($B$6:$B$14,案件一覧!$G$4:$G$12,--(案件一覧!$M$4:$M$12&lt;=2))+IF($B$3="最小化",SUMPRODUCT($B$6:$B$14,案件一覧!$P$4:$P$12,--(案件一覧!$Q$4:$Q$12&lt;=2)),0)</f>
        <v>405.2</v>
      </c>
      <c r="E41" s="24">
        <f>前提!F$58+SUMPRODUCT($B$6:$B$14,案件一覧!$G$4:$G$12,--(案件一覧!$M$4:$M$12&lt;=3))+IF($B$3="最小化",SUMPRODUCT($B$6:$B$14,案件一覧!$P$4:$P$12,--(案件一覧!$Q$4:$Q$12&lt;=3)),0)</f>
        <v>445.2</v>
      </c>
      <c r="F41" s="24">
        <f>前提!G$58+SUMPRODUCT($B$6:$B$14,案件一覧!$G$4:$G$12,--(案件一覧!$M$4:$M$12&lt;=4))+IF($B$3="最小化",SUMPRODUCT($B$6:$B$14,案件一覧!$P$4:$P$12,--(案件一覧!$Q$4:$Q$12&lt;=4)),0)</f>
        <v>583.8</v>
      </c>
      <c r="G41" s="24">
        <f>前提!H$58+SUMPRODUCT($B$6:$B$14,案件一覧!$G$4:$G$12,--(案件一覧!$M$4:$M$12&lt;=5))+IF($B$3="最小化",SUMPRODUCT($B$6:$B$14,案件一覧!$P$4:$P$12,--(案件一覧!$Q$4:$Q$12&lt;=5)),0)</f>
        <v>578.9</v>
      </c>
      <c r="H41" s="24">
        <f>前提!I$58+SUMPRODUCT($B$6:$B$14,案件一覧!$G$4:$G$12,--(案件一覧!$M$4:$M$12&lt;=6))+IF($B$3="最小化",SUMPRODUCT($B$6:$B$14,案件一覧!$P$4:$P$12,--(案件一覧!$Q$4:$Q$12&lt;=6)),0)</f>
        <v>574.0</v>
      </c>
      <c r="I41" s="24">
        <f>前提!J$58+SUMPRODUCT($B$6:$B$14,案件一覧!$G$4:$G$12,--(案件一覧!$M$4:$M$12&lt;=7))+IF($B$3="最小化",SUMPRODUCT($B$6:$B$14,案件一覧!$P$4:$P$12,--(案件一覧!$Q$4:$Q$12&lt;=7)),0)</f>
        <v>569.2</v>
      </c>
      <c r="J41" s="24">
        <f>前提!K$58+SUMPRODUCT($B$6:$B$14,案件一覧!$G$4:$G$12,--(案件一覧!$M$4:$M$12&lt;=8))+IF($B$3="最小化",SUMPRODUCT($B$6:$B$14,案件一覧!$P$4:$P$12,--(案件一覧!$Q$4:$Q$12&lt;=8)),0)</f>
        <v>564.4</v>
      </c>
      <c r="K41" s="24">
        <f>前提!L$58+SUMPRODUCT($B$6:$B$14,案件一覧!$G$4:$G$12,--(案件一覧!$M$4:$M$12&lt;=9))+IF($B$3="最小化",SUMPRODUCT($B$6:$B$14,案件一覧!$P$4:$P$12,--(案件一覧!$Q$4:$Q$12&lt;=9)),0)</f>
        <v>609.5</v>
      </c>
      <c r="L41" s="24">
        <f>前提!M$58+SUMPRODUCT($B$6:$B$14,案件一覧!$G$4:$G$12,--(案件一覧!$M$4:$M$12&lt;=10))+IF($B$3="最小化",SUMPRODUCT($B$6:$B$14,案件一覧!$P$4:$P$12,--(案件一覧!$Q$4:$Q$12&lt;=10)),0)</f>
        <v>604.6</v>
      </c>
      <c r="M41" s="24">
        <f>前提!N$58+SUMPRODUCT($B$6:$B$14,案件一覧!$G$4:$G$12,--(案件一覧!$M$4:$M$12&lt;=11))+IF($B$3="最小化",SUMPRODUCT($B$6:$B$14,案件一覧!$P$4:$P$12,--(案件一覧!$Q$4:$Q$12&lt;=11)),0)</f>
        <v>599.8</v>
      </c>
      <c r="N41" s="24">
        <f>前提!O$58+SUMPRODUCT($B$6:$B$14,案件一覧!$G$4:$G$12,--(案件一覧!$M$4:$M$12&lt;=12))+IF($B$3="最小化",SUMPRODUCT($B$6:$B$14,案件一覧!$P$4:$P$12,--(案件一覧!$Q$4:$Q$12&lt;=12)),0)</f>
        <v>594.9</v>
      </c>
      <c r="O41" s="24">
        <f>前提!P$58+SUMPRODUCT($B$6:$B$14,案件一覧!$G$4:$G$12,--(案件一覧!$M$4:$M$12&lt;=13))+IF($B$3="最小化",SUMPRODUCT($B$6:$B$14,案件一覧!$P$4:$P$12,--(案件一覧!$Q$4:$Q$12&lt;=13)),0)</f>
        <v>590.1</v>
      </c>
      <c r="P41" s="24">
        <f>前提!Q$58+SUMPRODUCT($B$6:$B$14,案件一覧!$G$4:$G$12,--(案件一覧!$M$4:$M$12&lt;=14))+IF($B$3="最小化",SUMPRODUCT($B$6:$B$14,案件一覧!$P$4:$P$12,--(案件一覧!$Q$4:$Q$12&lt;=14)),0)</f>
        <v>585.2</v>
      </c>
      <c r="Q41" s="24">
        <f>前提!R$58+SUMPRODUCT($B$6:$B$14,案件一覧!$G$4:$G$12,--(案件一覧!$M$4:$M$12&lt;=15))+IF($B$3="最小化",SUMPRODUCT($B$6:$B$14,案件一覧!$P$4:$P$12,--(案件一覧!$Q$4:$Q$12&lt;=15)),0)</f>
        <v>580.4</v>
      </c>
      <c r="R41" s="24">
        <f>前提!S$58+SUMPRODUCT($B$6:$B$14,案件一覧!$G$4:$G$12,--(案件一覧!$M$4:$M$12&lt;=16))+IF($B$3="最小化",SUMPRODUCT($B$6:$B$14,案件一覧!$P$4:$P$12,--(案件一覧!$Q$4:$Q$12&lt;=16)),0)</f>
        <v>575.5</v>
      </c>
      <c r="S41" s="24" t="n"/>
    </row>
    <row r="42">
      <c r="A42" s="4" t="inlineStr">
        <is>
          <t>Net Debt Capacity ＝ EBITDA×4＋売掛金＋現預金−有利子負債</t>
        </is>
      </c>
      <c r="C42" s="26">
        <f>C40*4+C38+C39-C41</f>
        <v>315.2</v>
      </c>
      <c r="D42" s="26">
        <f>D40*4+D38+D39-D41</f>
        <v>300.2</v>
      </c>
      <c r="E42" s="26">
        <f>E40*4+E38+E39-E41</f>
        <v>416.7</v>
      </c>
      <c r="F42" s="26">
        <f>F40*4+F38+F39-F41</f>
        <v>380.4</v>
      </c>
      <c r="G42" s="26">
        <f>G40*4+G38+G39-G41</f>
        <v>468.2</v>
      </c>
      <c r="H42" s="26">
        <f>H40*4+H38+H39-H41</f>
        <v>468.0</v>
      </c>
      <c r="I42" s="26">
        <f>I40*4+I38+I39-I41</f>
        <v>455.9</v>
      </c>
      <c r="J42" s="26">
        <f>J40*4+J38+J39-J41</f>
        <v>455.8</v>
      </c>
      <c r="K42" s="26">
        <f>K40*4+K38+K39-K41</f>
        <v>405.6</v>
      </c>
      <c r="L42" s="26">
        <f>L40*4+L38+L39-L41</f>
        <v>405.5</v>
      </c>
      <c r="M42" s="26">
        <f>M40*4+M38+M39-M41</f>
        <v>405.3</v>
      </c>
      <c r="N42" s="26">
        <f>N40*4+N38+N39-N41</f>
        <v>405.2</v>
      </c>
      <c r="O42" s="26">
        <f>O40*4+O38+O39-O41</f>
        <v>405.0</v>
      </c>
      <c r="P42" s="26">
        <f>P40*4+P38+P39-P41</f>
        <v>404.9</v>
      </c>
      <c r="Q42" s="26">
        <f>Q40*4+Q38+Q39-Q41</f>
        <v>404.7</v>
      </c>
      <c r="R42" s="26">
        <f>R40*4+R38+R39-R41</f>
        <v>404.6</v>
      </c>
      <c r="S42" s="26" t="n"/>
    </row>
    <row r="45">
      <c r="A45" s="4" t="inlineStr">
        <is>
          <t>サマリー指標</t>
        </is>
      </c>
    </row>
    <row r="46">
      <c r="A46" s="6" t="inlineStr">
        <is>
          <t>総支出（案件・16ヶ月）</t>
        </is>
      </c>
      <c r="B46" s="21">
        <f>-S30</f>
        <v>328.2</v>
      </c>
    </row>
    <row r="47">
      <c r="A47" s="6" t="inlineStr">
        <is>
          <t>最低残高</t>
        </is>
      </c>
      <c r="B47" s="21">
        <f>MIN(C31:R31)</f>
        <v>-49.9</v>
      </c>
    </row>
    <row r="48">
      <c r="A48" s="6" t="inlineStr">
        <is>
          <t>最低残高の月</t>
        </is>
      </c>
      <c r="B48" s="4" t="str">
        <f>INDEX($C$17:$R$17,MATCH(B47,C31:R31,0))</f>
        <v>2027/12</v>
      </c>
    </row>
    <row r="49">
      <c r="A49" s="6" t="inlineStr">
        <is>
          <t>初めて安全水準を割る月</t>
        </is>
      </c>
      <c r="B49" s="4" t="str">
        <f>IFERROR(INDEX($C$17:$R$17,MATCH(1,C35:R35,0)),"—")</f>
        <v>2026/12</v>
      </c>
    </row>
    <row r="50">
      <c r="A50" s="6" t="inlineStr">
        <is>
          <t>必要調達額（2027/12まで）</t>
        </is>
      </c>
      <c r="B50" s="21">
        <f>MAX(C33:R33)</f>
        <v>149.9</v>
      </c>
    </row>
    <row r="51">
      <c r="A51" s="6" t="inlineStr">
        <is>
          <t>2026/11までの不足</t>
        </is>
      </c>
      <c r="B51" s="21">
        <f>E33</f>
        <v>0</v>
      </c>
    </row>
    <row r="52">
      <c r="A52" s="6" t="inlineStr">
        <is>
          <t>2027/1までの不足</t>
        </is>
      </c>
      <c r="B52" s="21">
        <f>G33</f>
        <v>82.9</v>
      </c>
    </row>
    <row r="53">
      <c r="A53" s="6" t="inlineStr">
        <is>
          <t>2027/3までの不足</t>
        </is>
      </c>
      <c r="B53" s="21">
        <f>I33</f>
        <v>104.9</v>
      </c>
    </row>
    <row r="54">
      <c r="A54" s="6" t="inlineStr">
        <is>
          <t>2027/12 期末現預金</t>
        </is>
      </c>
      <c r="B54" s="21">
        <f>R31</f>
        <v>-49.9</v>
      </c>
    </row>
    <row r="55">
      <c r="A55" s="6" t="inlineStr">
        <is>
          <t>年換算売上（オーガニック＋実行案件）</t>
        </is>
      </c>
      <c r="B55" s="27">
        <f>前提!$B$5+SUMPRODUCT($B$6:$B$14,案件一覧!$D$4:$D$12)</f>
        <v>3111</v>
      </c>
    </row>
    <row r="56">
      <c r="A56" s="6" t="inlineStr">
        <is>
          <t>年換算 調整後EBITDA（現状）</t>
        </is>
      </c>
      <c r="B56" s="27">
        <f>前提!$B$6+SUMPRODUCT($B$6:$B$14,案件一覧!$E$4:$E$12)</f>
        <v>101</v>
      </c>
    </row>
    <row r="57">
      <c r="A57" s="6" t="inlineStr">
        <is>
          <t>年換算 調整後EBITDA（改善後）</t>
        </is>
      </c>
      <c r="B57" s="27">
        <f>前提!$B$6+SUMPRODUCT($B$6:$B$14,案件一覧!$F$4:$F$12)</f>
        <v>183</v>
      </c>
    </row>
    <row r="58">
      <c r="A58" s="6" t="inlineStr">
        <is>
          <t>承継・残置負債</t>
        </is>
      </c>
      <c r="B58" s="21">
        <f>SUMPRODUCT($B$6:$B$14,案件一覧!$G$4:$G$12)</f>
        <v>188.25</v>
      </c>
    </row>
    <row r="59">
      <c r="A59" s="6" t="inlineStr">
        <is>
          <t>Net Debt Capacity 2026/12</t>
        </is>
      </c>
      <c r="B59" s="21">
        <f>F42</f>
        <v>380.4</v>
      </c>
    </row>
    <row r="60">
      <c r="A60" s="6" t="inlineStr">
        <is>
          <t>Net Debt Capacity 2027/12</t>
        </is>
      </c>
      <c r="B60" s="21">
        <f>R42</f>
        <v>404.6</v>
      </c>
    </row>
    <row r="61">
      <c r="A61" s="6" t="inlineStr">
        <is>
          <t>2027/12 有利子負債（調達前）</t>
        </is>
      </c>
      <c r="B61" s="21">
        <f>R41</f>
        <v>575.5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61"/>
  <sheetViews>
    <sheetView workbookViewId="0">
      <pane xSplit="2" ySplit="17" topLeftCell="C18"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0" customWidth="1" min="19" max="19"/>
  </cols>
  <sheetData>
    <row r="1">
      <c r="A1" s="14" t="inlineStr">
        <is>
          <t>S4 基本＋ワイズ＋エース — HD単体 月次キャッシュ推移（百万円）</t>
        </is>
      </c>
    </row>
    <row r="2">
      <c r="A2" s="2" t="inlineStr">
        <is>
          <t>実行フラグ（1＝実行、0＝見送り）とモード（現行／最小化）を変えると全体が再計算されます。青字＝入力値</t>
        </is>
      </c>
    </row>
    <row r="3">
      <c r="A3" s="4" t="inlineStr">
        <is>
          <t>モード</t>
        </is>
      </c>
      <c r="B3" s="23" t="inlineStr">
        <is>
          <t>最小化</t>
        </is>
      </c>
      <c r="C3" s="2" t="inlineStr">
        <is>
          <t>← 「現行」または「最小化」</t>
        </is>
      </c>
    </row>
    <row r="5">
      <c r="A5" s="3" t="inlineStr">
        <is>
          <t>案件</t>
        </is>
      </c>
      <c r="B5" s="3" t="inlineStr">
        <is>
          <t>実行フラグ</t>
        </is>
      </c>
    </row>
    <row r="6">
      <c r="A6" s="6" t="inlineStr">
        <is>
          <t>HT100%化</t>
        </is>
      </c>
      <c r="B6" s="23" t="n">
        <v>1</v>
      </c>
    </row>
    <row r="7">
      <c r="A7" s="6" t="inlineStr">
        <is>
          <t>メディプロ</t>
        </is>
      </c>
      <c r="B7" s="23" t="n">
        <v>1</v>
      </c>
    </row>
    <row r="8">
      <c r="A8" s="6" t="inlineStr">
        <is>
          <t>ヒューマンアイ</t>
        </is>
      </c>
      <c r="B8" s="23" t="n">
        <v>1</v>
      </c>
    </row>
    <row r="9">
      <c r="A9" s="6" t="inlineStr">
        <is>
          <t>クレッシェンド</t>
        </is>
      </c>
      <c r="B9" s="23" t="n">
        <v>1</v>
      </c>
    </row>
    <row r="10">
      <c r="A10" s="6" t="inlineStr">
        <is>
          <t>ワイズケア</t>
        </is>
      </c>
      <c r="B10" s="23" t="n">
        <v>1</v>
      </c>
    </row>
    <row r="11">
      <c r="A11" s="6" t="inlineStr">
        <is>
          <t>エーステイスト</t>
        </is>
      </c>
      <c r="B11" s="23" t="n">
        <v>1</v>
      </c>
    </row>
    <row r="12">
      <c r="A12" s="6" t="inlineStr">
        <is>
          <t>日本経営センター</t>
        </is>
      </c>
      <c r="B12" s="23" t="n">
        <v>0</v>
      </c>
    </row>
    <row r="13">
      <c r="A13" s="6" t="inlineStr">
        <is>
          <t>セレサ</t>
        </is>
      </c>
      <c r="B13" s="23" t="n">
        <v>0</v>
      </c>
    </row>
    <row r="14">
      <c r="A14" s="6" t="inlineStr">
        <is>
          <t>シルバーメディカル</t>
        </is>
      </c>
      <c r="B14" s="23" t="n">
        <v>1</v>
      </c>
    </row>
    <row r="17">
      <c r="A17" s="3" t="inlineStr">
        <is>
          <t>項目</t>
        </is>
      </c>
      <c r="B17" s="3" t="inlineStr"/>
      <c r="C17" s="3" t="inlineStr">
        <is>
          <t>2026/9</t>
        </is>
      </c>
      <c r="D17" s="3" t="inlineStr">
        <is>
          <t>2026/10</t>
        </is>
      </c>
      <c r="E17" s="3" t="inlineStr">
        <is>
          <t>2026/11</t>
        </is>
      </c>
      <c r="F17" s="3" t="inlineStr">
        <is>
          <t>2026/12</t>
        </is>
      </c>
      <c r="G17" s="3" t="inlineStr">
        <is>
          <t>2027/1</t>
        </is>
      </c>
      <c r="H17" s="3" t="inlineStr">
        <is>
          <t>2027/2</t>
        </is>
      </c>
      <c r="I17" s="3" t="inlineStr">
        <is>
          <t>2027/3</t>
        </is>
      </c>
      <c r="J17" s="3" t="inlineStr">
        <is>
          <t>2027/4</t>
        </is>
      </c>
      <c r="K17" s="3" t="inlineStr">
        <is>
          <t>2027/5</t>
        </is>
      </c>
      <c r="L17" s="3" t="inlineStr">
        <is>
          <t>2027/6</t>
        </is>
      </c>
      <c r="M17" s="3" t="inlineStr">
        <is>
          <t>2027/7</t>
        </is>
      </c>
      <c r="N17" s="3" t="inlineStr">
        <is>
          <t>2027/8</t>
        </is>
      </c>
      <c r="O17" s="3" t="inlineStr">
        <is>
          <t>2027/9</t>
        </is>
      </c>
      <c r="P17" s="3" t="inlineStr">
        <is>
          <t>2027/10</t>
        </is>
      </c>
      <c r="Q17" s="3" t="inlineStr">
        <is>
          <t>2027/11</t>
        </is>
      </c>
      <c r="R17" s="3" t="inlineStr">
        <is>
          <t>2027/12</t>
        </is>
      </c>
      <c r="S17" s="3" t="inlineStr">
        <is>
          <t>合計</t>
        </is>
      </c>
    </row>
    <row r="18">
      <c r="A18" s="4" t="inlineStr">
        <is>
          <t>期首現預金</t>
        </is>
      </c>
      <c r="C18" s="21">
        <f>前提!$B$3</f>
        <v>366.3</v>
      </c>
      <c r="D18" s="21">
        <f>C31</f>
        <v>329.3</v>
      </c>
      <c r="E18" s="21">
        <f>D31</f>
        <v>292.65</v>
      </c>
      <c r="F18" s="21">
        <f>E31</f>
        <v>88.85</v>
      </c>
      <c r="G18" s="21">
        <f>F31</f>
        <v>-113.9</v>
      </c>
      <c r="H18" s="21">
        <f>G31</f>
        <v>-118.9</v>
      </c>
      <c r="I18" s="21">
        <f>H31</f>
        <v>-123.9</v>
      </c>
      <c r="J18" s="21">
        <f>I31</f>
        <v>-140.9</v>
      </c>
      <c r="K18" s="21">
        <f>J31</f>
        <v>-145.9</v>
      </c>
      <c r="L18" s="21">
        <f>K31</f>
        <v>-150.9</v>
      </c>
      <c r="M18" s="21">
        <f>L31</f>
        <v>-155.9</v>
      </c>
      <c r="N18" s="21">
        <f>M31</f>
        <v>-160.9</v>
      </c>
      <c r="O18" s="21">
        <f>N31</f>
        <v>-165.9</v>
      </c>
      <c r="P18" s="21">
        <f>O31</f>
        <v>-170.9</v>
      </c>
      <c r="Q18" s="21">
        <f>P31</f>
        <v>-175.9</v>
      </c>
      <c r="R18" s="21">
        <f>Q31</f>
        <v>-180.9</v>
      </c>
      <c r="S18" s="21" t="n"/>
    </row>
    <row r="19">
      <c r="A19" s="6" t="inlineStr">
        <is>
          <t>HD運営費</t>
        </is>
      </c>
      <c r="C19" s="24">
        <f>前提!D$11</f>
        <v>-7</v>
      </c>
      <c r="D19" s="24">
        <f>前提!E$11</f>
        <v>-7</v>
      </c>
      <c r="E19" s="24">
        <f>前提!F$11</f>
        <v>-7</v>
      </c>
      <c r="F19" s="24">
        <f>前提!G$11</f>
        <v>-7</v>
      </c>
      <c r="G19" s="24">
        <f>前提!H$11</f>
        <v>-5</v>
      </c>
      <c r="H19" s="24">
        <f>前提!I$11</f>
        <v>-5</v>
      </c>
      <c r="I19" s="24">
        <f>前提!J$11</f>
        <v>-5</v>
      </c>
      <c r="J19" s="24">
        <f>前提!K$11</f>
        <v>-5</v>
      </c>
      <c r="K19" s="24">
        <f>前提!L$11</f>
        <v>-5</v>
      </c>
      <c r="L19" s="24">
        <f>前提!M$11</f>
        <v>-5</v>
      </c>
      <c r="M19" s="24">
        <f>前提!N$11</f>
        <v>-5</v>
      </c>
      <c r="N19" s="24">
        <f>前提!O$11</f>
        <v>-5</v>
      </c>
      <c r="O19" s="24">
        <f>前提!P$11</f>
        <v>-5</v>
      </c>
      <c r="P19" s="24">
        <f>前提!Q$11</f>
        <v>-5</v>
      </c>
      <c r="Q19" s="24">
        <f>前提!R$11</f>
        <v>-5</v>
      </c>
      <c r="R19" s="24">
        <f>前提!S$11</f>
        <v>-5</v>
      </c>
      <c r="S19" s="24">
        <f>SUM(C19:R19)</f>
        <v>-88</v>
      </c>
    </row>
    <row r="20">
      <c r="A20" s="4" t="inlineStr">
        <is>
          <t>案件支出（マイナスは対象会社借入等による軽減）</t>
        </is>
      </c>
    </row>
    <row r="21">
      <c r="A21" s="6" t="inlineStr">
        <is>
          <t xml:space="preserve">　HT100%化</t>
        </is>
      </c>
      <c r="C21" s="24">
        <f>-$B$6*(SUMIFS(前提!$D$12:$D$51,前提!$A$12:$A$51,TRIM($A21),前提!$C$12:$C$51,"共通")+SUMIFS(前提!$D$12:$D$51,前提!$A$12:$A$51,TRIM($A21),前提!$C$12:$C$51,$B$3))</f>
        <v>-30.0</v>
      </c>
      <c r="D21" s="24">
        <f>-$B$6*(SUMIFS(前提!$E$12:$E$51,前提!$A$12:$A$51,TRIM($A21),前提!$C$12:$C$51,"共通")+SUMIFS(前提!$E$12:$E$51,前提!$A$12:$A$51,TRIM($A21),前提!$C$12:$C$51,$B$3))</f>
        <v>0</v>
      </c>
      <c r="E21" s="24">
        <f>-$B$6*(SUMIFS(前提!$F$12:$F$51,前提!$A$12:$A$51,TRIM($A21),前提!$C$12:$C$51,"共通")+SUMIFS(前提!$F$12:$F$51,前提!$A$12:$A$51,TRIM($A21),前提!$C$12:$C$51,$B$3))</f>
        <v>0</v>
      </c>
      <c r="F21" s="24">
        <f>-$B$6*(SUMIFS(前提!$G$12:$G$51,前提!$A$12:$A$51,TRIM($A21),前提!$C$12:$C$51,"共通")+SUMIFS(前提!$G$12:$G$51,前提!$A$12:$A$51,TRIM($A21),前提!$C$12:$C$51,$B$3))</f>
        <v>0</v>
      </c>
      <c r="G21" s="24">
        <f>-$B$6*(SUMIFS(前提!$H$12:$H$51,前提!$A$12:$A$51,TRIM($A21),前提!$C$12:$C$51,"共通")+SUMIFS(前提!$H$12:$H$51,前提!$A$12:$A$51,TRIM($A21),前提!$C$12:$C$51,$B$3))</f>
        <v>0</v>
      </c>
      <c r="H21" s="24">
        <f>-$B$6*(SUMIFS(前提!$I$12:$I$51,前提!$A$12:$A$51,TRIM($A21),前提!$C$12:$C$51,"共通")+SUMIFS(前提!$I$12:$I$51,前提!$A$12:$A$51,TRIM($A21),前提!$C$12:$C$51,$B$3))</f>
        <v>0</v>
      </c>
      <c r="I21" s="24">
        <f>-$B$6*(SUMIFS(前提!$J$12:$J$51,前提!$A$12:$A$51,TRIM($A21),前提!$C$12:$C$51,"共通")+SUMIFS(前提!$J$12:$J$51,前提!$A$12:$A$51,TRIM($A21),前提!$C$12:$C$51,$B$3))</f>
        <v>0</v>
      </c>
      <c r="J21" s="24">
        <f>-$B$6*(SUMIFS(前提!$K$12:$K$51,前提!$A$12:$A$51,TRIM($A21),前提!$C$12:$C$51,"共通")+SUMIFS(前提!$K$12:$K$51,前提!$A$12:$A$51,TRIM($A21),前提!$C$12:$C$51,$B$3))</f>
        <v>0</v>
      </c>
      <c r="K21" s="24">
        <f>-$B$6*(SUMIFS(前提!$L$12:$L$51,前提!$A$12:$A$51,TRIM($A21),前提!$C$12:$C$51,"共通")+SUMIFS(前提!$L$12:$L$51,前提!$A$12:$A$51,TRIM($A21),前提!$C$12:$C$51,$B$3))</f>
        <v>0</v>
      </c>
      <c r="L21" s="24">
        <f>-$B$6*(SUMIFS(前提!$M$12:$M$51,前提!$A$12:$A$51,TRIM($A21),前提!$C$12:$C$51,"共通")+SUMIFS(前提!$M$12:$M$51,前提!$A$12:$A$51,TRIM($A21),前提!$C$12:$C$51,$B$3))</f>
        <v>0</v>
      </c>
      <c r="M21" s="24">
        <f>-$B$6*(SUMIFS(前提!$N$12:$N$51,前提!$A$12:$A$51,TRIM($A21),前提!$C$12:$C$51,"共通")+SUMIFS(前提!$N$12:$N$51,前提!$A$12:$A$51,TRIM($A21),前提!$C$12:$C$51,$B$3))</f>
        <v>0</v>
      </c>
      <c r="N21" s="24">
        <f>-$B$6*(SUMIFS(前提!$O$12:$O$51,前提!$A$12:$A$51,TRIM($A21),前提!$C$12:$C$51,"共通")+SUMIFS(前提!$O$12:$O$51,前提!$A$12:$A$51,TRIM($A21),前提!$C$12:$C$51,$B$3))</f>
        <v>0</v>
      </c>
      <c r="O21" s="24">
        <f>-$B$6*(SUMIFS(前提!$P$12:$P$51,前提!$A$12:$A$51,TRIM($A21),前提!$C$12:$C$51,"共通")+SUMIFS(前提!$P$12:$P$51,前提!$A$12:$A$51,TRIM($A21),前提!$C$12:$C$51,$B$3))</f>
        <v>0</v>
      </c>
      <c r="P21" s="24">
        <f>-$B$6*(SUMIFS(前提!$Q$12:$Q$51,前提!$A$12:$A$51,TRIM($A21),前提!$C$12:$C$51,"共通")+SUMIFS(前提!$Q$12:$Q$51,前提!$A$12:$A$51,TRIM($A21),前提!$C$12:$C$51,$B$3))</f>
        <v>0</v>
      </c>
      <c r="Q21" s="24">
        <f>-$B$6*(SUMIFS(前提!$R$12:$R$51,前提!$A$12:$A$51,TRIM($A21),前提!$C$12:$C$51,"共通")+SUMIFS(前提!$R$12:$R$51,前提!$A$12:$A$51,TRIM($A21),前提!$C$12:$C$51,$B$3))</f>
        <v>0</v>
      </c>
      <c r="R21" s="24">
        <f>-$B$6*(SUMIFS(前提!$S$12:$S$51,前提!$A$12:$A$51,TRIM($A21),前提!$C$12:$C$51,"共通")+SUMIFS(前提!$S$12:$S$51,前提!$A$12:$A$51,TRIM($A21),前提!$C$12:$C$51,$B$3))</f>
        <v>0</v>
      </c>
      <c r="S21" s="24">
        <f>SUM(C21:R21)</f>
        <v>-30.0</v>
      </c>
    </row>
    <row r="22">
      <c r="A22" s="6" t="inlineStr">
        <is>
          <t xml:space="preserve">　メディプロ</t>
        </is>
      </c>
      <c r="C22" s="24">
        <f>-$B$7*(SUMIFS(前提!$D$12:$D$51,前提!$A$12:$A$51,TRIM($A22),前提!$C$12:$C$51,"共通")+SUMIFS(前提!$D$12:$D$51,前提!$A$12:$A$51,TRIM($A22),前提!$C$12:$C$51,$B$3))</f>
        <v>0</v>
      </c>
      <c r="D22" s="24">
        <f>-$B$7*(SUMIFS(前提!$E$12:$E$51,前提!$A$12:$A$51,TRIM($A22),前提!$C$12:$C$51,"共通")+SUMIFS(前提!$E$12:$E$51,前提!$A$12:$A$51,TRIM($A22),前提!$C$12:$C$51,$B$3))</f>
        <v>-1.5</v>
      </c>
      <c r="E22" s="24">
        <f>-$B$7*(SUMIFS(前提!$F$12:$F$51,前提!$A$12:$A$51,TRIM($A22),前提!$C$12:$C$51,"共通")+SUMIFS(前提!$F$12:$F$51,前提!$A$12:$A$51,TRIM($A22),前提!$C$12:$C$51,$B$3))</f>
        <v>-30.5</v>
      </c>
      <c r="F22" s="24">
        <f>-$B$7*(SUMIFS(前提!$G$12:$G$51,前提!$A$12:$A$51,TRIM($A22),前提!$C$12:$C$51,"共通")+SUMIFS(前提!$G$12:$G$51,前提!$A$12:$A$51,TRIM($A22),前提!$C$12:$C$51,$B$3))</f>
        <v>0</v>
      </c>
      <c r="G22" s="24">
        <f>-$B$7*(SUMIFS(前提!$H$12:$H$51,前提!$A$12:$A$51,TRIM($A22),前提!$C$12:$C$51,"共通")+SUMIFS(前提!$H$12:$H$51,前提!$A$12:$A$51,TRIM($A22),前提!$C$12:$C$51,$B$3))</f>
        <v>0</v>
      </c>
      <c r="H22" s="24">
        <f>-$B$7*(SUMIFS(前提!$I$12:$I$51,前提!$A$12:$A$51,TRIM($A22),前提!$C$12:$C$51,"共通")+SUMIFS(前提!$I$12:$I$51,前提!$A$12:$A$51,TRIM($A22),前提!$C$12:$C$51,$B$3))</f>
        <v>0</v>
      </c>
      <c r="I22" s="24">
        <f>-$B$7*(SUMIFS(前提!$J$12:$J$51,前提!$A$12:$A$51,TRIM($A22),前提!$C$12:$C$51,"共通")+SUMIFS(前提!$J$12:$J$51,前提!$A$12:$A$51,TRIM($A22),前提!$C$12:$C$51,$B$3))</f>
        <v>0</v>
      </c>
      <c r="J22" s="24">
        <f>-$B$7*(SUMIFS(前提!$K$12:$K$51,前提!$A$12:$A$51,TRIM($A22),前提!$C$12:$C$51,"共通")+SUMIFS(前提!$K$12:$K$51,前提!$A$12:$A$51,TRIM($A22),前提!$C$12:$C$51,$B$3))</f>
        <v>0</v>
      </c>
      <c r="K22" s="24">
        <f>-$B$7*(SUMIFS(前提!$L$12:$L$51,前提!$A$12:$A$51,TRIM($A22),前提!$C$12:$C$51,"共通")+SUMIFS(前提!$L$12:$L$51,前提!$A$12:$A$51,TRIM($A22),前提!$C$12:$C$51,$B$3))</f>
        <v>0</v>
      </c>
      <c r="L22" s="24">
        <f>-$B$7*(SUMIFS(前提!$M$12:$M$51,前提!$A$12:$A$51,TRIM($A22),前提!$C$12:$C$51,"共通")+SUMIFS(前提!$M$12:$M$51,前提!$A$12:$A$51,TRIM($A22),前提!$C$12:$C$51,$B$3))</f>
        <v>0</v>
      </c>
      <c r="M22" s="24">
        <f>-$B$7*(SUMIFS(前提!$N$12:$N$51,前提!$A$12:$A$51,TRIM($A22),前提!$C$12:$C$51,"共通")+SUMIFS(前提!$N$12:$N$51,前提!$A$12:$A$51,TRIM($A22),前提!$C$12:$C$51,$B$3))</f>
        <v>0</v>
      </c>
      <c r="N22" s="24">
        <f>-$B$7*(SUMIFS(前提!$O$12:$O$51,前提!$A$12:$A$51,TRIM($A22),前提!$C$12:$C$51,"共通")+SUMIFS(前提!$O$12:$O$51,前提!$A$12:$A$51,TRIM($A22),前提!$C$12:$C$51,$B$3))</f>
        <v>0</v>
      </c>
      <c r="O22" s="24">
        <f>-$B$7*(SUMIFS(前提!$P$12:$P$51,前提!$A$12:$A$51,TRIM($A22),前提!$C$12:$C$51,"共通")+SUMIFS(前提!$P$12:$P$51,前提!$A$12:$A$51,TRIM($A22),前提!$C$12:$C$51,$B$3))</f>
        <v>0</v>
      </c>
      <c r="P22" s="24">
        <f>-$B$7*(SUMIFS(前提!$Q$12:$Q$51,前提!$A$12:$A$51,TRIM($A22),前提!$C$12:$C$51,"共通")+SUMIFS(前提!$Q$12:$Q$51,前提!$A$12:$A$51,TRIM($A22),前提!$C$12:$C$51,$B$3))</f>
        <v>0</v>
      </c>
      <c r="Q22" s="24">
        <f>-$B$7*(SUMIFS(前提!$R$12:$R$51,前提!$A$12:$A$51,TRIM($A22),前提!$C$12:$C$51,"共通")+SUMIFS(前提!$R$12:$R$51,前提!$A$12:$A$51,TRIM($A22),前提!$C$12:$C$51,$B$3))</f>
        <v>0</v>
      </c>
      <c r="R22" s="24">
        <f>-$B$7*(SUMIFS(前提!$S$12:$S$51,前提!$A$12:$A$51,TRIM($A22),前提!$C$12:$C$51,"共通")+SUMIFS(前提!$S$12:$S$51,前提!$A$12:$A$51,TRIM($A22),前提!$C$12:$C$51,$B$3))</f>
        <v>0</v>
      </c>
      <c r="S22" s="24">
        <f>SUM(C22:R22)</f>
        <v>-32.0</v>
      </c>
    </row>
    <row r="23">
      <c r="A23" s="6" t="inlineStr">
        <is>
          <t xml:space="preserve">　ヒューマンアイ</t>
        </is>
      </c>
      <c r="C23" s="24">
        <f>-$B$8*(SUMIFS(前提!$D$12:$D$51,前提!$A$12:$A$51,TRIM($A23),前提!$C$12:$C$51,"共通")+SUMIFS(前提!$D$12:$D$51,前提!$A$12:$A$51,TRIM($A23),前提!$C$12:$C$51,$B$3))</f>
        <v>0</v>
      </c>
      <c r="D23" s="24">
        <f>-$B$8*(SUMIFS(前提!$E$12:$E$51,前提!$A$12:$A$51,TRIM($A23),前提!$C$12:$C$51,"共通")+SUMIFS(前提!$E$12:$E$51,前提!$A$12:$A$51,TRIM($A23),前提!$C$12:$C$51,$B$3))</f>
        <v>-12.5</v>
      </c>
      <c r="E23" s="24">
        <f>-$B$8*(SUMIFS(前提!$F$12:$F$51,前提!$A$12:$A$51,TRIM($A23),前提!$C$12:$C$51,"共通")+SUMIFS(前提!$F$12:$F$51,前提!$A$12:$A$51,TRIM($A23),前提!$C$12:$C$51,$B$3))</f>
        <v>0</v>
      </c>
      <c r="F23" s="24">
        <f>-$B$8*(SUMIFS(前提!$G$12:$G$51,前提!$A$12:$A$51,TRIM($A23),前提!$C$12:$C$51,"共通")+SUMIFS(前提!$G$12:$G$51,前提!$A$12:$A$51,TRIM($A23),前提!$C$12:$C$51,$B$3))</f>
        <v>-12.0</v>
      </c>
      <c r="G23" s="24">
        <f>-$B$8*(SUMIFS(前提!$H$12:$H$51,前提!$A$12:$A$51,TRIM($A23),前提!$C$12:$C$51,"共通")+SUMIFS(前提!$H$12:$H$51,前提!$A$12:$A$51,TRIM($A23),前提!$C$12:$C$51,$B$3))</f>
        <v>0</v>
      </c>
      <c r="H23" s="24">
        <f>-$B$8*(SUMIFS(前提!$I$12:$I$51,前提!$A$12:$A$51,TRIM($A23),前提!$C$12:$C$51,"共通")+SUMIFS(前提!$I$12:$I$51,前提!$A$12:$A$51,TRIM($A23),前提!$C$12:$C$51,$B$3))</f>
        <v>0</v>
      </c>
      <c r="I23" s="24">
        <f>-$B$8*(SUMIFS(前提!$J$12:$J$51,前提!$A$12:$A$51,TRIM($A23),前提!$C$12:$C$51,"共通")+SUMIFS(前提!$J$12:$J$51,前提!$A$12:$A$51,TRIM($A23),前提!$C$12:$C$51,$B$3))</f>
        <v>-12.0</v>
      </c>
      <c r="J23" s="24">
        <f>-$B$8*(SUMIFS(前提!$K$12:$K$51,前提!$A$12:$A$51,TRIM($A23),前提!$C$12:$C$51,"共通")+SUMIFS(前提!$K$12:$K$51,前提!$A$12:$A$51,TRIM($A23),前提!$C$12:$C$51,$B$3))</f>
        <v>0</v>
      </c>
      <c r="K23" s="24">
        <f>-$B$8*(SUMIFS(前提!$L$12:$L$51,前提!$A$12:$A$51,TRIM($A23),前提!$C$12:$C$51,"共通")+SUMIFS(前提!$L$12:$L$51,前提!$A$12:$A$51,TRIM($A23),前提!$C$12:$C$51,$B$3))</f>
        <v>0</v>
      </c>
      <c r="L23" s="24">
        <f>-$B$8*(SUMIFS(前提!$M$12:$M$51,前提!$A$12:$A$51,TRIM($A23),前提!$C$12:$C$51,"共通")+SUMIFS(前提!$M$12:$M$51,前提!$A$12:$A$51,TRIM($A23),前提!$C$12:$C$51,$B$3))</f>
        <v>0</v>
      </c>
      <c r="M23" s="24">
        <f>-$B$8*(SUMIFS(前提!$N$12:$N$51,前提!$A$12:$A$51,TRIM($A23),前提!$C$12:$C$51,"共通")+SUMIFS(前提!$N$12:$N$51,前提!$A$12:$A$51,TRIM($A23),前提!$C$12:$C$51,$B$3))</f>
        <v>0</v>
      </c>
      <c r="N23" s="24">
        <f>-$B$8*(SUMIFS(前提!$O$12:$O$51,前提!$A$12:$A$51,TRIM($A23),前提!$C$12:$C$51,"共通")+SUMIFS(前提!$O$12:$O$51,前提!$A$12:$A$51,TRIM($A23),前提!$C$12:$C$51,$B$3))</f>
        <v>0</v>
      </c>
      <c r="O23" s="24">
        <f>-$B$8*(SUMIFS(前提!$P$12:$P$51,前提!$A$12:$A$51,TRIM($A23),前提!$C$12:$C$51,"共通")+SUMIFS(前提!$P$12:$P$51,前提!$A$12:$A$51,TRIM($A23),前提!$C$12:$C$51,$B$3))</f>
        <v>0</v>
      </c>
      <c r="P23" s="24">
        <f>-$B$8*(SUMIFS(前提!$Q$12:$Q$51,前提!$A$12:$A$51,TRIM($A23),前提!$C$12:$C$51,"共通")+SUMIFS(前提!$Q$12:$Q$51,前提!$A$12:$A$51,TRIM($A23),前提!$C$12:$C$51,$B$3))</f>
        <v>0</v>
      </c>
      <c r="Q23" s="24">
        <f>-$B$8*(SUMIFS(前提!$R$12:$R$51,前提!$A$12:$A$51,TRIM($A23),前提!$C$12:$C$51,"共通")+SUMIFS(前提!$R$12:$R$51,前提!$A$12:$A$51,TRIM($A23),前提!$C$12:$C$51,$B$3))</f>
        <v>0</v>
      </c>
      <c r="R23" s="24">
        <f>-$B$8*(SUMIFS(前提!$S$12:$S$51,前提!$A$12:$A$51,TRIM($A23),前提!$C$12:$C$51,"共通")+SUMIFS(前提!$S$12:$S$51,前提!$A$12:$A$51,TRIM($A23),前提!$C$12:$C$51,$B$3))</f>
        <v>0</v>
      </c>
      <c r="S23" s="24">
        <f>SUM(C23:R23)</f>
        <v>-36.5</v>
      </c>
    </row>
    <row r="24">
      <c r="A24" s="6" t="inlineStr">
        <is>
          <t xml:space="preserve">　クレッシェンド</t>
        </is>
      </c>
      <c r="C24" s="24">
        <f>-$B$9*(SUMIFS(前提!$D$12:$D$51,前提!$A$12:$A$51,TRIM($A24),前提!$C$12:$C$51,"共通")+SUMIFS(前提!$D$12:$D$51,前提!$A$12:$A$51,TRIM($A24),前提!$C$12:$C$51,$B$3))</f>
        <v>0</v>
      </c>
      <c r="D24" s="24">
        <f>-$B$9*(SUMIFS(前提!$E$12:$E$51,前提!$A$12:$A$51,TRIM($A24),前提!$C$12:$C$51,"共通")+SUMIFS(前提!$E$12:$E$51,前提!$A$12:$A$51,TRIM($A24),前提!$C$12:$C$51,$B$3))</f>
        <v>-3.1</v>
      </c>
      <c r="E24" s="24">
        <f>-$B$9*(SUMIFS(前提!$F$12:$F$51,前提!$A$12:$A$51,TRIM($A24),前提!$C$12:$C$51,"共通")+SUMIFS(前提!$F$12:$F$51,前提!$A$12:$A$51,TRIM($A24),前提!$C$12:$C$51,$B$3))</f>
        <v>-32.0</v>
      </c>
      <c r="F24" s="24">
        <f>-$B$9*(SUMIFS(前提!$G$12:$G$51,前提!$A$12:$A$51,TRIM($A24),前提!$C$12:$C$51,"共通")+SUMIFS(前提!$G$12:$G$51,前提!$A$12:$A$51,TRIM($A24),前提!$C$12:$C$51,$B$3))</f>
        <v>0</v>
      </c>
      <c r="G24" s="24">
        <f>-$B$9*(SUMIFS(前提!$H$12:$H$51,前提!$A$12:$A$51,TRIM($A24),前提!$C$12:$C$51,"共通")+SUMIFS(前提!$H$12:$H$51,前提!$A$12:$A$51,TRIM($A24),前提!$C$12:$C$51,$B$3))</f>
        <v>0</v>
      </c>
      <c r="H24" s="24">
        <f>-$B$9*(SUMIFS(前提!$I$12:$I$51,前提!$A$12:$A$51,TRIM($A24),前提!$C$12:$C$51,"共通")+SUMIFS(前提!$I$12:$I$51,前提!$A$12:$A$51,TRIM($A24),前提!$C$12:$C$51,$B$3))</f>
        <v>0</v>
      </c>
      <c r="I24" s="24">
        <f>-$B$9*(SUMIFS(前提!$J$12:$J$51,前提!$A$12:$A$51,TRIM($A24),前提!$C$12:$C$51,"共通")+SUMIFS(前提!$J$12:$J$51,前提!$A$12:$A$51,TRIM($A24),前提!$C$12:$C$51,$B$3))</f>
        <v>0</v>
      </c>
      <c r="J24" s="24">
        <f>-$B$9*(SUMIFS(前提!$K$12:$K$51,前提!$A$12:$A$51,TRIM($A24),前提!$C$12:$C$51,"共通")+SUMIFS(前提!$K$12:$K$51,前提!$A$12:$A$51,TRIM($A24),前提!$C$12:$C$51,$B$3))</f>
        <v>0</v>
      </c>
      <c r="K24" s="24">
        <f>-$B$9*(SUMIFS(前提!$L$12:$L$51,前提!$A$12:$A$51,TRIM($A24),前提!$C$12:$C$51,"共通")+SUMIFS(前提!$L$12:$L$51,前提!$A$12:$A$51,TRIM($A24),前提!$C$12:$C$51,$B$3))</f>
        <v>0</v>
      </c>
      <c r="L24" s="24">
        <f>-$B$9*(SUMIFS(前提!$M$12:$M$51,前提!$A$12:$A$51,TRIM($A24),前提!$C$12:$C$51,"共通")+SUMIFS(前提!$M$12:$M$51,前提!$A$12:$A$51,TRIM($A24),前提!$C$12:$C$51,$B$3))</f>
        <v>0</v>
      </c>
      <c r="M24" s="24">
        <f>-$B$9*(SUMIFS(前提!$N$12:$N$51,前提!$A$12:$A$51,TRIM($A24),前提!$C$12:$C$51,"共通")+SUMIFS(前提!$N$12:$N$51,前提!$A$12:$A$51,TRIM($A24),前提!$C$12:$C$51,$B$3))</f>
        <v>0</v>
      </c>
      <c r="N24" s="24">
        <f>-$B$9*(SUMIFS(前提!$O$12:$O$51,前提!$A$12:$A$51,TRIM($A24),前提!$C$12:$C$51,"共通")+SUMIFS(前提!$O$12:$O$51,前提!$A$12:$A$51,TRIM($A24),前提!$C$12:$C$51,$B$3))</f>
        <v>0</v>
      </c>
      <c r="O24" s="24">
        <f>-$B$9*(SUMIFS(前提!$P$12:$P$51,前提!$A$12:$A$51,TRIM($A24),前提!$C$12:$C$51,"共通")+SUMIFS(前提!$P$12:$P$51,前提!$A$12:$A$51,TRIM($A24),前提!$C$12:$C$51,$B$3))</f>
        <v>0</v>
      </c>
      <c r="P24" s="24">
        <f>-$B$9*(SUMIFS(前提!$Q$12:$Q$51,前提!$A$12:$A$51,TRIM($A24),前提!$C$12:$C$51,"共通")+SUMIFS(前提!$Q$12:$Q$51,前提!$A$12:$A$51,TRIM($A24),前提!$C$12:$C$51,$B$3))</f>
        <v>0</v>
      </c>
      <c r="Q24" s="24">
        <f>-$B$9*(SUMIFS(前提!$R$12:$R$51,前提!$A$12:$A$51,TRIM($A24),前提!$C$12:$C$51,"共通")+SUMIFS(前提!$R$12:$R$51,前提!$A$12:$A$51,TRIM($A24),前提!$C$12:$C$51,$B$3))</f>
        <v>0</v>
      </c>
      <c r="R24" s="24">
        <f>-$B$9*(SUMIFS(前提!$S$12:$S$51,前提!$A$12:$A$51,TRIM($A24),前提!$C$12:$C$51,"共通")+SUMIFS(前提!$S$12:$S$51,前提!$A$12:$A$51,TRIM($A24),前提!$C$12:$C$51,$B$3))</f>
        <v>0</v>
      </c>
      <c r="S24" s="24">
        <f>SUM(C24:R24)</f>
        <v>-35.1</v>
      </c>
    </row>
    <row r="25">
      <c r="A25" s="6" t="inlineStr">
        <is>
          <t xml:space="preserve">　ワイズケア</t>
        </is>
      </c>
      <c r="C25" s="24">
        <f>-$B$10*(SUMIFS(前提!$D$12:$D$51,前提!$A$12:$A$51,TRIM($A25),前提!$C$12:$C$51,"共通")+SUMIFS(前提!$D$12:$D$51,前提!$A$12:$A$51,TRIM($A25),前提!$C$12:$C$51,$B$3))</f>
        <v>0</v>
      </c>
      <c r="D25" s="24">
        <f>-$B$10*(SUMIFS(前提!$E$12:$E$51,前提!$A$12:$A$51,TRIM($A25),前提!$C$12:$C$51,"共通")+SUMIFS(前提!$E$12:$E$51,前提!$A$12:$A$51,TRIM($A25),前提!$C$12:$C$51,$B$3))</f>
        <v>-8.7</v>
      </c>
      <c r="E25" s="24">
        <f>-$B$10*(SUMIFS(前提!$F$12:$F$51,前提!$A$12:$A$51,TRIM($A25),前提!$C$12:$C$51,"共通")+SUMIFS(前提!$F$12:$F$51,前提!$A$12:$A$51,TRIM($A25),前提!$C$12:$C$51,$B$3))</f>
        <v>-127.3</v>
      </c>
      <c r="F25" s="24">
        <f>-$B$10*(SUMIFS(前提!$G$12:$G$51,前提!$A$12:$A$51,TRIM($A25),前提!$C$12:$C$51,"共通")+SUMIFS(前提!$G$12:$G$51,前提!$A$12:$A$51,TRIM($A25),前提!$C$12:$C$51,$B$3))</f>
        <v>0</v>
      </c>
      <c r="G25" s="24">
        <f>-$B$10*(SUMIFS(前提!$H$12:$H$51,前提!$A$12:$A$51,TRIM($A25),前提!$C$12:$C$51,"共通")+SUMIFS(前提!$H$12:$H$51,前提!$A$12:$A$51,TRIM($A25),前提!$C$12:$C$51,$B$3))</f>
        <v>0</v>
      </c>
      <c r="H25" s="24">
        <f>-$B$10*(SUMIFS(前提!$I$12:$I$51,前提!$A$12:$A$51,TRIM($A25),前提!$C$12:$C$51,"共通")+SUMIFS(前提!$I$12:$I$51,前提!$A$12:$A$51,TRIM($A25),前提!$C$12:$C$51,$B$3))</f>
        <v>0</v>
      </c>
      <c r="I25" s="24">
        <f>-$B$10*(SUMIFS(前提!$J$12:$J$51,前提!$A$12:$A$51,TRIM($A25),前提!$C$12:$C$51,"共通")+SUMIFS(前提!$J$12:$J$51,前提!$A$12:$A$51,TRIM($A25),前提!$C$12:$C$51,$B$3))</f>
        <v>0</v>
      </c>
      <c r="J25" s="24">
        <f>-$B$10*(SUMIFS(前提!$K$12:$K$51,前提!$A$12:$A$51,TRIM($A25),前提!$C$12:$C$51,"共通")+SUMIFS(前提!$K$12:$K$51,前提!$A$12:$A$51,TRIM($A25),前提!$C$12:$C$51,$B$3))</f>
        <v>0</v>
      </c>
      <c r="K25" s="24">
        <f>-$B$10*(SUMIFS(前提!$L$12:$L$51,前提!$A$12:$A$51,TRIM($A25),前提!$C$12:$C$51,"共通")+SUMIFS(前提!$L$12:$L$51,前提!$A$12:$A$51,TRIM($A25),前提!$C$12:$C$51,$B$3))</f>
        <v>0</v>
      </c>
      <c r="L25" s="24">
        <f>-$B$10*(SUMIFS(前提!$M$12:$M$51,前提!$A$12:$A$51,TRIM($A25),前提!$C$12:$C$51,"共通")+SUMIFS(前提!$M$12:$M$51,前提!$A$12:$A$51,TRIM($A25),前提!$C$12:$C$51,$B$3))</f>
        <v>0</v>
      </c>
      <c r="M25" s="24">
        <f>-$B$10*(SUMIFS(前提!$N$12:$N$51,前提!$A$12:$A$51,TRIM($A25),前提!$C$12:$C$51,"共通")+SUMIFS(前提!$N$12:$N$51,前提!$A$12:$A$51,TRIM($A25),前提!$C$12:$C$51,$B$3))</f>
        <v>0</v>
      </c>
      <c r="N25" s="24">
        <f>-$B$10*(SUMIFS(前提!$O$12:$O$51,前提!$A$12:$A$51,TRIM($A25),前提!$C$12:$C$51,"共通")+SUMIFS(前提!$O$12:$O$51,前提!$A$12:$A$51,TRIM($A25),前提!$C$12:$C$51,$B$3))</f>
        <v>0</v>
      </c>
      <c r="O25" s="24">
        <f>-$B$10*(SUMIFS(前提!$P$12:$P$51,前提!$A$12:$A$51,TRIM($A25),前提!$C$12:$C$51,"共通")+SUMIFS(前提!$P$12:$P$51,前提!$A$12:$A$51,TRIM($A25),前提!$C$12:$C$51,$B$3))</f>
        <v>0</v>
      </c>
      <c r="P25" s="24">
        <f>-$B$10*(SUMIFS(前提!$Q$12:$Q$51,前提!$A$12:$A$51,TRIM($A25),前提!$C$12:$C$51,"共通")+SUMIFS(前提!$Q$12:$Q$51,前提!$A$12:$A$51,TRIM($A25),前提!$C$12:$C$51,$B$3))</f>
        <v>0</v>
      </c>
      <c r="Q25" s="24">
        <f>-$B$10*(SUMIFS(前提!$R$12:$R$51,前提!$A$12:$A$51,TRIM($A25),前提!$C$12:$C$51,"共通")+SUMIFS(前提!$R$12:$R$51,前提!$A$12:$A$51,TRIM($A25),前提!$C$12:$C$51,$B$3))</f>
        <v>0</v>
      </c>
      <c r="R25" s="24">
        <f>-$B$10*(SUMIFS(前提!$S$12:$S$51,前提!$A$12:$A$51,TRIM($A25),前提!$C$12:$C$51,"共通")+SUMIFS(前提!$S$12:$S$51,前提!$A$12:$A$51,TRIM($A25),前提!$C$12:$C$51,$B$3))</f>
        <v>0</v>
      </c>
      <c r="S25" s="24">
        <f>SUM(C25:R25)</f>
        <v>-136.0</v>
      </c>
    </row>
    <row r="26">
      <c r="A26" s="6" t="inlineStr">
        <is>
          <t xml:space="preserve">　エーステイスト</t>
        </is>
      </c>
      <c r="C26" s="24">
        <f>-$B$11*(SUMIFS(前提!$D$12:$D$51,前提!$A$12:$A$51,TRIM($A26),前提!$C$12:$C$51,"共通")+SUMIFS(前提!$D$12:$D$51,前提!$A$12:$A$51,TRIM($A26),前提!$C$12:$C$51,$B$3))</f>
        <v>0</v>
      </c>
      <c r="D26" s="24">
        <f>-$B$11*(SUMIFS(前提!$E$12:$E$51,前提!$A$12:$A$51,TRIM($A26),前提!$C$12:$C$51,"共通")+SUMIFS(前提!$E$12:$E$51,前提!$A$12:$A$51,TRIM($A26),前提!$C$12:$C$51,$B$3))</f>
        <v>-2.75</v>
      </c>
      <c r="E26" s="24">
        <f>-$B$11*(SUMIFS(前提!$F$12:$F$51,前提!$A$12:$A$51,TRIM($A26),前提!$C$12:$C$51,"共通")+SUMIFS(前提!$F$12:$F$51,前提!$A$12:$A$51,TRIM($A26),前提!$C$12:$C$51,$B$3))</f>
        <v>-2.0</v>
      </c>
      <c r="F26" s="24">
        <f>-$B$11*(SUMIFS(前提!$G$12:$G$51,前提!$A$12:$A$51,TRIM($A26),前提!$C$12:$C$51,"共通")+SUMIFS(前提!$G$12:$G$51,前提!$A$12:$A$51,TRIM($A26),前提!$C$12:$C$51,$B$3))</f>
        <v>-69.75</v>
      </c>
      <c r="G26" s="24">
        <f>-$B$11*(SUMIFS(前提!$H$12:$H$51,前提!$A$12:$A$51,TRIM($A26),前提!$C$12:$C$51,"共通")+SUMIFS(前提!$H$12:$H$51,前提!$A$12:$A$51,TRIM($A26),前提!$C$12:$C$51,$B$3))</f>
        <v>0</v>
      </c>
      <c r="H26" s="24">
        <f>-$B$11*(SUMIFS(前提!$I$12:$I$51,前提!$A$12:$A$51,TRIM($A26),前提!$C$12:$C$51,"共通")+SUMIFS(前提!$I$12:$I$51,前提!$A$12:$A$51,TRIM($A26),前提!$C$12:$C$51,$B$3))</f>
        <v>0</v>
      </c>
      <c r="I26" s="24">
        <f>-$B$11*(SUMIFS(前提!$J$12:$J$51,前提!$A$12:$A$51,TRIM($A26),前提!$C$12:$C$51,"共通")+SUMIFS(前提!$J$12:$J$51,前提!$A$12:$A$51,TRIM($A26),前提!$C$12:$C$51,$B$3))</f>
        <v>0</v>
      </c>
      <c r="J26" s="24">
        <f>-$B$11*(SUMIFS(前提!$K$12:$K$51,前提!$A$12:$A$51,TRIM($A26),前提!$C$12:$C$51,"共通")+SUMIFS(前提!$K$12:$K$51,前提!$A$12:$A$51,TRIM($A26),前提!$C$12:$C$51,$B$3))</f>
        <v>0</v>
      </c>
      <c r="K26" s="24">
        <f>-$B$11*(SUMIFS(前提!$L$12:$L$51,前提!$A$12:$A$51,TRIM($A26),前提!$C$12:$C$51,"共通")+SUMIFS(前提!$L$12:$L$51,前提!$A$12:$A$51,TRIM($A26),前提!$C$12:$C$51,$B$3))</f>
        <v>0</v>
      </c>
      <c r="L26" s="24">
        <f>-$B$11*(SUMIFS(前提!$M$12:$M$51,前提!$A$12:$A$51,TRIM($A26),前提!$C$12:$C$51,"共通")+SUMIFS(前提!$M$12:$M$51,前提!$A$12:$A$51,TRIM($A26),前提!$C$12:$C$51,$B$3))</f>
        <v>0</v>
      </c>
      <c r="M26" s="24">
        <f>-$B$11*(SUMIFS(前提!$N$12:$N$51,前提!$A$12:$A$51,TRIM($A26),前提!$C$12:$C$51,"共通")+SUMIFS(前提!$N$12:$N$51,前提!$A$12:$A$51,TRIM($A26),前提!$C$12:$C$51,$B$3))</f>
        <v>0</v>
      </c>
      <c r="N26" s="24">
        <f>-$B$11*(SUMIFS(前提!$O$12:$O$51,前提!$A$12:$A$51,TRIM($A26),前提!$C$12:$C$51,"共通")+SUMIFS(前提!$O$12:$O$51,前提!$A$12:$A$51,TRIM($A26),前提!$C$12:$C$51,$B$3))</f>
        <v>0</v>
      </c>
      <c r="O26" s="24">
        <f>-$B$11*(SUMIFS(前提!$P$12:$P$51,前提!$A$12:$A$51,TRIM($A26),前提!$C$12:$C$51,"共通")+SUMIFS(前提!$P$12:$P$51,前提!$A$12:$A$51,TRIM($A26),前提!$C$12:$C$51,$B$3))</f>
        <v>0</v>
      </c>
      <c r="P26" s="24">
        <f>-$B$11*(SUMIFS(前提!$Q$12:$Q$51,前提!$A$12:$A$51,TRIM($A26),前提!$C$12:$C$51,"共通")+SUMIFS(前提!$Q$12:$Q$51,前提!$A$12:$A$51,TRIM($A26),前提!$C$12:$C$51,$B$3))</f>
        <v>0</v>
      </c>
      <c r="Q26" s="24">
        <f>-$B$11*(SUMIFS(前提!$R$12:$R$51,前提!$A$12:$A$51,TRIM($A26),前提!$C$12:$C$51,"共通")+SUMIFS(前提!$R$12:$R$51,前提!$A$12:$A$51,TRIM($A26),前提!$C$12:$C$51,$B$3))</f>
        <v>0</v>
      </c>
      <c r="R26" s="24">
        <f>-$B$11*(SUMIFS(前提!$S$12:$S$51,前提!$A$12:$A$51,TRIM($A26),前提!$C$12:$C$51,"共通")+SUMIFS(前提!$S$12:$S$51,前提!$A$12:$A$51,TRIM($A26),前提!$C$12:$C$51,$B$3))</f>
        <v>0</v>
      </c>
      <c r="S26" s="24">
        <f>SUM(C26:R26)</f>
        <v>-74.5</v>
      </c>
    </row>
    <row r="27">
      <c r="A27" s="6" t="inlineStr">
        <is>
          <t xml:space="preserve">　日本経営センター</t>
        </is>
      </c>
      <c r="C27" s="24">
        <f>-$B$12*(SUMIFS(前提!$D$12:$D$51,前提!$A$12:$A$51,TRIM($A27),前提!$C$12:$C$51,"共通")+SUMIFS(前提!$D$12:$D$51,前提!$A$12:$A$51,TRIM($A27),前提!$C$12:$C$51,$B$3))</f>
        <v>0</v>
      </c>
      <c r="D27" s="24">
        <f>-$B$12*(SUMIFS(前提!$E$12:$E$51,前提!$A$12:$A$51,TRIM($A27),前提!$C$12:$C$51,"共通")+SUMIFS(前提!$E$12:$E$51,前提!$A$12:$A$51,TRIM($A27),前提!$C$12:$C$51,$B$3))</f>
        <v>0</v>
      </c>
      <c r="E27" s="24">
        <f>-$B$12*(SUMIFS(前提!$F$12:$F$51,前提!$A$12:$A$51,TRIM($A27),前提!$C$12:$C$51,"共通")+SUMIFS(前提!$F$12:$F$51,前提!$A$12:$A$51,TRIM($A27),前提!$C$12:$C$51,$B$3))</f>
        <v>0</v>
      </c>
      <c r="F27" s="24">
        <f>-$B$12*(SUMIFS(前提!$G$12:$G$51,前提!$A$12:$A$51,TRIM($A27),前提!$C$12:$C$51,"共通")+SUMIFS(前提!$G$12:$G$51,前提!$A$12:$A$51,TRIM($A27),前提!$C$12:$C$51,$B$3))</f>
        <v>0.0</v>
      </c>
      <c r="G27" s="24">
        <f>-$B$12*(SUMIFS(前提!$H$12:$H$51,前提!$A$12:$A$51,TRIM($A27),前提!$C$12:$C$51,"共通")+SUMIFS(前提!$H$12:$H$51,前提!$A$12:$A$51,TRIM($A27),前提!$C$12:$C$51,$B$3))</f>
        <v>0.0</v>
      </c>
      <c r="H27" s="24">
        <f>-$B$12*(SUMIFS(前提!$I$12:$I$51,前提!$A$12:$A$51,TRIM($A27),前提!$C$12:$C$51,"共通")+SUMIFS(前提!$I$12:$I$51,前提!$A$12:$A$51,TRIM($A27),前提!$C$12:$C$51,$B$3))</f>
        <v>0</v>
      </c>
      <c r="I27" s="24">
        <f>-$B$12*(SUMIFS(前提!$J$12:$J$51,前提!$A$12:$A$51,TRIM($A27),前提!$C$12:$C$51,"共通")+SUMIFS(前提!$J$12:$J$51,前提!$A$12:$A$51,TRIM($A27),前提!$C$12:$C$51,$B$3))</f>
        <v>0</v>
      </c>
      <c r="J27" s="24">
        <f>-$B$12*(SUMIFS(前提!$K$12:$K$51,前提!$A$12:$A$51,TRIM($A27),前提!$C$12:$C$51,"共通")+SUMIFS(前提!$K$12:$K$51,前提!$A$12:$A$51,TRIM($A27),前提!$C$12:$C$51,$B$3))</f>
        <v>0</v>
      </c>
      <c r="K27" s="24">
        <f>-$B$12*(SUMIFS(前提!$L$12:$L$51,前提!$A$12:$A$51,TRIM($A27),前提!$C$12:$C$51,"共通")+SUMIFS(前提!$L$12:$L$51,前提!$A$12:$A$51,TRIM($A27),前提!$C$12:$C$51,$B$3))</f>
        <v>0</v>
      </c>
      <c r="L27" s="24">
        <f>-$B$12*(SUMIFS(前提!$M$12:$M$51,前提!$A$12:$A$51,TRIM($A27),前提!$C$12:$C$51,"共通")+SUMIFS(前提!$M$12:$M$51,前提!$A$12:$A$51,TRIM($A27),前提!$C$12:$C$51,$B$3))</f>
        <v>0</v>
      </c>
      <c r="M27" s="24">
        <f>-$B$12*(SUMIFS(前提!$N$12:$N$51,前提!$A$12:$A$51,TRIM($A27),前提!$C$12:$C$51,"共通")+SUMIFS(前提!$N$12:$N$51,前提!$A$12:$A$51,TRIM($A27),前提!$C$12:$C$51,$B$3))</f>
        <v>0</v>
      </c>
      <c r="N27" s="24">
        <f>-$B$12*(SUMIFS(前提!$O$12:$O$51,前提!$A$12:$A$51,TRIM($A27),前提!$C$12:$C$51,"共通")+SUMIFS(前提!$O$12:$O$51,前提!$A$12:$A$51,TRIM($A27),前提!$C$12:$C$51,$B$3))</f>
        <v>0</v>
      </c>
      <c r="O27" s="24">
        <f>-$B$12*(SUMIFS(前提!$P$12:$P$51,前提!$A$12:$A$51,TRIM($A27),前提!$C$12:$C$51,"共通")+SUMIFS(前提!$P$12:$P$51,前提!$A$12:$A$51,TRIM($A27),前提!$C$12:$C$51,$B$3))</f>
        <v>0</v>
      </c>
      <c r="P27" s="24">
        <f>-$B$12*(SUMIFS(前提!$Q$12:$Q$51,前提!$A$12:$A$51,TRIM($A27),前提!$C$12:$C$51,"共通")+SUMIFS(前提!$Q$12:$Q$51,前提!$A$12:$A$51,TRIM($A27),前提!$C$12:$C$51,$B$3))</f>
        <v>0</v>
      </c>
      <c r="Q27" s="24">
        <f>-$B$12*(SUMIFS(前提!$R$12:$R$51,前提!$A$12:$A$51,TRIM($A27),前提!$C$12:$C$51,"共通")+SUMIFS(前提!$R$12:$R$51,前提!$A$12:$A$51,TRIM($A27),前提!$C$12:$C$51,$B$3))</f>
        <v>0</v>
      </c>
      <c r="R27" s="24">
        <f>-$B$12*(SUMIFS(前提!$S$12:$S$51,前提!$A$12:$A$51,TRIM($A27),前提!$C$12:$C$51,"共通")+SUMIFS(前提!$S$12:$S$51,前提!$A$12:$A$51,TRIM($A27),前提!$C$12:$C$51,$B$3))</f>
        <v>0</v>
      </c>
      <c r="S27" s="24">
        <f>SUM(C27:R27)</f>
        <v>0.0</v>
      </c>
    </row>
    <row r="28">
      <c r="A28" s="6" t="inlineStr">
        <is>
          <t xml:space="preserve">　セレサ</t>
        </is>
      </c>
      <c r="C28" s="24">
        <f>-$B$13*(SUMIFS(前提!$D$12:$D$51,前提!$A$12:$A$51,TRIM($A28),前提!$C$12:$C$51,"共通")+SUMIFS(前提!$D$12:$D$51,前提!$A$12:$A$51,TRIM($A28),前提!$C$12:$C$51,$B$3))</f>
        <v>0</v>
      </c>
      <c r="D28" s="24">
        <f>-$B$13*(SUMIFS(前提!$E$12:$E$51,前提!$A$12:$A$51,TRIM($A28),前提!$C$12:$C$51,"共通")+SUMIFS(前提!$E$12:$E$51,前提!$A$12:$A$51,TRIM($A28),前提!$C$12:$C$51,$B$3))</f>
        <v>0</v>
      </c>
      <c r="E28" s="24">
        <f>-$B$13*(SUMIFS(前提!$F$12:$F$51,前提!$A$12:$A$51,TRIM($A28),前提!$C$12:$C$51,"共通")+SUMIFS(前提!$F$12:$F$51,前提!$A$12:$A$51,TRIM($A28),前提!$C$12:$C$51,$B$3))</f>
        <v>0</v>
      </c>
      <c r="F28" s="24">
        <f>-$B$13*(SUMIFS(前提!$G$12:$G$51,前提!$A$12:$A$51,TRIM($A28),前提!$C$12:$C$51,"共通")+SUMIFS(前提!$G$12:$G$51,前提!$A$12:$A$51,TRIM($A28),前提!$C$12:$C$51,$B$3))</f>
        <v>0</v>
      </c>
      <c r="G28" s="24">
        <f>-$B$13*(SUMIFS(前提!$H$12:$H$51,前提!$A$12:$A$51,TRIM($A28),前提!$C$12:$C$51,"共通")+SUMIFS(前提!$H$12:$H$51,前提!$A$12:$A$51,TRIM($A28),前提!$C$12:$C$51,$B$3))</f>
        <v>0</v>
      </c>
      <c r="H28" s="24">
        <f>-$B$13*(SUMIFS(前提!$I$12:$I$51,前提!$A$12:$A$51,TRIM($A28),前提!$C$12:$C$51,"共通")+SUMIFS(前提!$I$12:$I$51,前提!$A$12:$A$51,TRIM($A28),前提!$C$12:$C$51,$B$3))</f>
        <v>0.0</v>
      </c>
      <c r="I28" s="24">
        <f>-$B$13*(SUMIFS(前提!$J$12:$J$51,前提!$A$12:$A$51,TRIM($A28),前提!$C$12:$C$51,"共通")+SUMIFS(前提!$J$12:$J$51,前提!$A$12:$A$51,TRIM($A28),前提!$C$12:$C$51,$B$3))</f>
        <v>0.0</v>
      </c>
      <c r="J28" s="24">
        <f>-$B$13*(SUMIFS(前提!$K$12:$K$51,前提!$A$12:$A$51,TRIM($A28),前提!$C$12:$C$51,"共通")+SUMIFS(前提!$K$12:$K$51,前提!$A$12:$A$51,TRIM($A28),前提!$C$12:$C$51,$B$3))</f>
        <v>0</v>
      </c>
      <c r="K28" s="24">
        <f>-$B$13*(SUMIFS(前提!$L$12:$L$51,前提!$A$12:$A$51,TRIM($A28),前提!$C$12:$C$51,"共通")+SUMIFS(前提!$L$12:$L$51,前提!$A$12:$A$51,TRIM($A28),前提!$C$12:$C$51,$B$3))</f>
        <v>0</v>
      </c>
      <c r="L28" s="24">
        <f>-$B$13*(SUMIFS(前提!$M$12:$M$51,前提!$A$12:$A$51,TRIM($A28),前提!$C$12:$C$51,"共通")+SUMIFS(前提!$M$12:$M$51,前提!$A$12:$A$51,TRIM($A28),前提!$C$12:$C$51,$B$3))</f>
        <v>0</v>
      </c>
      <c r="M28" s="24">
        <f>-$B$13*(SUMIFS(前提!$N$12:$N$51,前提!$A$12:$A$51,TRIM($A28),前提!$C$12:$C$51,"共通")+SUMIFS(前提!$N$12:$N$51,前提!$A$12:$A$51,TRIM($A28),前提!$C$12:$C$51,$B$3))</f>
        <v>0</v>
      </c>
      <c r="N28" s="24">
        <f>-$B$13*(SUMIFS(前提!$O$12:$O$51,前提!$A$12:$A$51,TRIM($A28),前提!$C$12:$C$51,"共通")+SUMIFS(前提!$O$12:$O$51,前提!$A$12:$A$51,TRIM($A28),前提!$C$12:$C$51,$B$3))</f>
        <v>0</v>
      </c>
      <c r="O28" s="24">
        <f>-$B$13*(SUMIFS(前提!$P$12:$P$51,前提!$A$12:$A$51,TRIM($A28),前提!$C$12:$C$51,"共通")+SUMIFS(前提!$P$12:$P$51,前提!$A$12:$A$51,TRIM($A28),前提!$C$12:$C$51,$B$3))</f>
        <v>0</v>
      </c>
      <c r="P28" s="24">
        <f>-$B$13*(SUMIFS(前提!$Q$12:$Q$51,前提!$A$12:$A$51,TRIM($A28),前提!$C$12:$C$51,"共通")+SUMIFS(前提!$Q$12:$Q$51,前提!$A$12:$A$51,TRIM($A28),前提!$C$12:$C$51,$B$3))</f>
        <v>0</v>
      </c>
      <c r="Q28" s="24">
        <f>-$B$13*(SUMIFS(前提!$R$12:$R$51,前提!$A$12:$A$51,TRIM($A28),前提!$C$12:$C$51,"共通")+SUMIFS(前提!$R$12:$R$51,前提!$A$12:$A$51,TRIM($A28),前提!$C$12:$C$51,$B$3))</f>
        <v>0</v>
      </c>
      <c r="R28" s="24">
        <f>-$B$13*(SUMIFS(前提!$S$12:$S$51,前提!$A$12:$A$51,TRIM($A28),前提!$C$12:$C$51,"共通")+SUMIFS(前提!$S$12:$S$51,前提!$A$12:$A$51,TRIM($A28),前提!$C$12:$C$51,$B$3))</f>
        <v>0</v>
      </c>
      <c r="S28" s="24">
        <f>SUM(C28:R28)</f>
        <v>0.0</v>
      </c>
    </row>
    <row r="29">
      <c r="A29" s="6" t="inlineStr">
        <is>
          <t xml:space="preserve">　シルバーメディカル</t>
        </is>
      </c>
      <c r="C29" s="24">
        <f>-$B$14*(SUMIFS(前提!$D$12:$D$51,前提!$A$12:$A$51,TRIM($A29),前提!$C$12:$C$51,"共通")+SUMIFS(前提!$D$12:$D$51,前提!$A$12:$A$51,TRIM($A29),前提!$C$12:$C$51,$B$3))</f>
        <v>0</v>
      </c>
      <c r="D29" s="24">
        <f>-$B$14*(SUMIFS(前提!$E$12:$E$51,前提!$A$12:$A$51,TRIM($A29),前提!$C$12:$C$51,"共通")+SUMIFS(前提!$E$12:$E$51,前提!$A$12:$A$51,TRIM($A29),前提!$C$12:$C$51,$B$3))</f>
        <v>-1.1</v>
      </c>
      <c r="E29" s="24">
        <f>-$B$14*(SUMIFS(前提!$F$12:$F$51,前提!$A$12:$A$51,TRIM($A29),前提!$C$12:$C$51,"共通")+SUMIFS(前提!$F$12:$F$51,前提!$A$12:$A$51,TRIM($A29),前提!$C$12:$C$51,$B$3))</f>
        <v>-5.0</v>
      </c>
      <c r="F29" s="24">
        <f>-$B$14*(SUMIFS(前提!$G$12:$G$51,前提!$A$12:$A$51,TRIM($A29),前提!$C$12:$C$51,"共通")+SUMIFS(前提!$G$12:$G$51,前提!$A$12:$A$51,TRIM($A29),前提!$C$12:$C$51,$B$3))</f>
        <v>-114.0</v>
      </c>
      <c r="G29" s="24">
        <f>-$B$14*(SUMIFS(前提!$H$12:$H$51,前提!$A$12:$A$51,TRIM($A29),前提!$C$12:$C$51,"共通")+SUMIFS(前提!$H$12:$H$51,前提!$A$12:$A$51,TRIM($A29),前提!$C$12:$C$51,$B$3))</f>
        <v>0</v>
      </c>
      <c r="H29" s="24">
        <f>-$B$14*(SUMIFS(前提!$I$12:$I$51,前提!$A$12:$A$51,TRIM($A29),前提!$C$12:$C$51,"共通")+SUMIFS(前提!$I$12:$I$51,前提!$A$12:$A$51,TRIM($A29),前提!$C$12:$C$51,$B$3))</f>
        <v>0</v>
      </c>
      <c r="I29" s="24">
        <f>-$B$14*(SUMIFS(前提!$J$12:$J$51,前提!$A$12:$A$51,TRIM($A29),前提!$C$12:$C$51,"共通")+SUMIFS(前提!$J$12:$J$51,前提!$A$12:$A$51,TRIM($A29),前提!$C$12:$C$51,$B$3))</f>
        <v>0</v>
      </c>
      <c r="J29" s="24">
        <f>-$B$14*(SUMIFS(前提!$K$12:$K$51,前提!$A$12:$A$51,TRIM($A29),前提!$C$12:$C$51,"共通")+SUMIFS(前提!$K$12:$K$51,前提!$A$12:$A$51,TRIM($A29),前提!$C$12:$C$51,$B$3))</f>
        <v>0</v>
      </c>
      <c r="K29" s="24">
        <f>-$B$14*(SUMIFS(前提!$L$12:$L$51,前提!$A$12:$A$51,TRIM($A29),前提!$C$12:$C$51,"共通")+SUMIFS(前提!$L$12:$L$51,前提!$A$12:$A$51,TRIM($A29),前提!$C$12:$C$51,$B$3))</f>
        <v>0</v>
      </c>
      <c r="L29" s="24">
        <f>-$B$14*(SUMIFS(前提!$M$12:$M$51,前提!$A$12:$A$51,TRIM($A29),前提!$C$12:$C$51,"共通")+SUMIFS(前提!$M$12:$M$51,前提!$A$12:$A$51,TRIM($A29),前提!$C$12:$C$51,$B$3))</f>
        <v>0</v>
      </c>
      <c r="M29" s="24">
        <f>-$B$14*(SUMIFS(前提!$N$12:$N$51,前提!$A$12:$A$51,TRIM($A29),前提!$C$12:$C$51,"共通")+SUMIFS(前提!$N$12:$N$51,前提!$A$12:$A$51,TRIM($A29),前提!$C$12:$C$51,$B$3))</f>
        <v>0</v>
      </c>
      <c r="N29" s="24">
        <f>-$B$14*(SUMIFS(前提!$O$12:$O$51,前提!$A$12:$A$51,TRIM($A29),前提!$C$12:$C$51,"共通")+SUMIFS(前提!$O$12:$O$51,前提!$A$12:$A$51,TRIM($A29),前提!$C$12:$C$51,$B$3))</f>
        <v>0</v>
      </c>
      <c r="O29" s="24">
        <f>-$B$14*(SUMIFS(前提!$P$12:$P$51,前提!$A$12:$A$51,TRIM($A29),前提!$C$12:$C$51,"共通")+SUMIFS(前提!$P$12:$P$51,前提!$A$12:$A$51,TRIM($A29),前提!$C$12:$C$51,$B$3))</f>
        <v>0</v>
      </c>
      <c r="P29" s="24">
        <f>-$B$14*(SUMIFS(前提!$Q$12:$Q$51,前提!$A$12:$A$51,TRIM($A29),前提!$C$12:$C$51,"共通")+SUMIFS(前提!$Q$12:$Q$51,前提!$A$12:$A$51,TRIM($A29),前提!$C$12:$C$51,$B$3))</f>
        <v>0</v>
      </c>
      <c r="Q29" s="24">
        <f>-$B$14*(SUMIFS(前提!$R$12:$R$51,前提!$A$12:$A$51,TRIM($A29),前提!$C$12:$C$51,"共通")+SUMIFS(前提!$R$12:$R$51,前提!$A$12:$A$51,TRIM($A29),前提!$C$12:$C$51,$B$3))</f>
        <v>0</v>
      </c>
      <c r="R29" s="24">
        <f>-$B$14*(SUMIFS(前提!$S$12:$S$51,前提!$A$12:$A$51,TRIM($A29),前提!$C$12:$C$51,"共通")+SUMIFS(前提!$S$12:$S$51,前提!$A$12:$A$51,TRIM($A29),前提!$C$12:$C$51,$B$3))</f>
        <v>0</v>
      </c>
      <c r="S29" s="24">
        <f>SUM(C29:R29)</f>
        <v>-120.1</v>
      </c>
    </row>
    <row r="30">
      <c r="A30" s="4" t="inlineStr">
        <is>
          <t>案件支出 合計</t>
        </is>
      </c>
      <c r="C30" s="21">
        <f>SUM(C21:C29)</f>
        <v>-30.0</v>
      </c>
      <c r="D30" s="21">
        <f>SUM(D21:D29)</f>
        <v>-29.65</v>
      </c>
      <c r="E30" s="21">
        <f>SUM(E21:E29)</f>
        <v>-196.8</v>
      </c>
      <c r="F30" s="21">
        <f>SUM(F21:F29)</f>
        <v>-195.75</v>
      </c>
      <c r="G30" s="21">
        <f>SUM(G21:G29)</f>
        <v>0.0</v>
      </c>
      <c r="H30" s="21">
        <f>SUM(H21:H29)</f>
        <v>0.0</v>
      </c>
      <c r="I30" s="21">
        <f>SUM(I21:I29)</f>
        <v>-12.0</v>
      </c>
      <c r="J30" s="21">
        <f>SUM(J21:J29)</f>
        <v>0</v>
      </c>
      <c r="K30" s="21">
        <f>SUM(K21:K29)</f>
        <v>0</v>
      </c>
      <c r="L30" s="21">
        <f>SUM(L21:L29)</f>
        <v>0</v>
      </c>
      <c r="M30" s="21">
        <f>SUM(M21:M29)</f>
        <v>0</v>
      </c>
      <c r="N30" s="21">
        <f>SUM(N21:N29)</f>
        <v>0</v>
      </c>
      <c r="O30" s="21">
        <f>SUM(O21:O29)</f>
        <v>0</v>
      </c>
      <c r="P30" s="21">
        <f>SUM(P21:P29)</f>
        <v>0</v>
      </c>
      <c r="Q30" s="21">
        <f>SUM(Q21:Q29)</f>
        <v>0</v>
      </c>
      <c r="R30" s="21">
        <f>SUM(R21:R29)</f>
        <v>0</v>
      </c>
      <c r="S30" s="21">
        <f>SUM(C30:R30)</f>
        <v>-464.2</v>
      </c>
    </row>
    <row r="31">
      <c r="A31" s="4" t="inlineStr">
        <is>
          <t>期末現預金</t>
        </is>
      </c>
      <c r="C31" s="22">
        <f>C18+C19+C30</f>
        <v>329.3</v>
      </c>
      <c r="D31" s="22">
        <f>D18+D19+D30</f>
        <v>292.65</v>
      </c>
      <c r="E31" s="22">
        <f>E18+E19+E30</f>
        <v>88.85</v>
      </c>
      <c r="F31" s="22">
        <f>F18+F19+F30</f>
        <v>-113.9</v>
      </c>
      <c r="G31" s="22">
        <f>G18+G19+G30</f>
        <v>-118.9</v>
      </c>
      <c r="H31" s="22">
        <f>H18+H19+H30</f>
        <v>-123.9</v>
      </c>
      <c r="I31" s="22">
        <f>I18+I19+I30</f>
        <v>-140.9</v>
      </c>
      <c r="J31" s="22">
        <f>J18+J19+J30</f>
        <v>-145.9</v>
      </c>
      <c r="K31" s="22">
        <f>K18+K19+K30</f>
        <v>-150.9</v>
      </c>
      <c r="L31" s="22">
        <f>L18+L19+L30</f>
        <v>-155.9</v>
      </c>
      <c r="M31" s="22">
        <f>M18+M19+M30</f>
        <v>-160.9</v>
      </c>
      <c r="N31" s="22">
        <f>N18+N19+N30</f>
        <v>-165.9</v>
      </c>
      <c r="O31" s="22">
        <f>O18+O19+O30</f>
        <v>-170.9</v>
      </c>
      <c r="P31" s="22">
        <f>P18+P19+P30</f>
        <v>-175.9</v>
      </c>
      <c r="Q31" s="22">
        <f>Q18+Q19+Q30</f>
        <v>-180.9</v>
      </c>
      <c r="R31" s="22">
        <f>R18+R19+R30</f>
        <v>-185.9</v>
      </c>
      <c r="S31" s="22" t="n"/>
    </row>
    <row r="32">
      <c r="A32" s="6" t="inlineStr">
        <is>
          <t>安全水準との差</t>
        </is>
      </c>
      <c r="C32" s="24">
        <f>C31-前提!$B$4</f>
        <v>229.3</v>
      </c>
      <c r="D32" s="24">
        <f>D31-前提!$B$4</f>
        <v>192.65</v>
      </c>
      <c r="E32" s="24">
        <f>E31-前提!$B$4</f>
        <v>-11.15</v>
      </c>
      <c r="F32" s="24">
        <f>F31-前提!$B$4</f>
        <v>-213.9</v>
      </c>
      <c r="G32" s="24">
        <f>G31-前提!$B$4</f>
        <v>-218.9</v>
      </c>
      <c r="H32" s="24">
        <f>H31-前提!$B$4</f>
        <v>-223.9</v>
      </c>
      <c r="I32" s="24">
        <f>I31-前提!$B$4</f>
        <v>-240.9</v>
      </c>
      <c r="J32" s="24">
        <f>J31-前提!$B$4</f>
        <v>-245.9</v>
      </c>
      <c r="K32" s="24">
        <f>K31-前提!$B$4</f>
        <v>-250.9</v>
      </c>
      <c r="L32" s="24">
        <f>L31-前提!$B$4</f>
        <v>-255.9</v>
      </c>
      <c r="M32" s="24">
        <f>M31-前提!$B$4</f>
        <v>-260.9</v>
      </c>
      <c r="N32" s="24">
        <f>N31-前提!$B$4</f>
        <v>-265.9</v>
      </c>
      <c r="O32" s="24">
        <f>O31-前提!$B$4</f>
        <v>-270.9</v>
      </c>
      <c r="P32" s="24">
        <f>P31-前提!$B$4</f>
        <v>-275.9</v>
      </c>
      <c r="Q32" s="24">
        <f>Q31-前提!$B$4</f>
        <v>-280.9</v>
      </c>
      <c r="R32" s="24">
        <f>R31-前提!$B$4</f>
        <v>-285.9</v>
      </c>
      <c r="S32" s="24" t="n"/>
    </row>
    <row r="33">
      <c r="A33" s="4" t="inlineStr">
        <is>
          <t>必要調達額（安全水準を維持するための不足額）</t>
        </is>
      </c>
      <c r="C33" s="25">
        <f>MAX(0,前提!$B$4-C31)</f>
        <v>0</v>
      </c>
      <c r="D33" s="25">
        <f>MAX(0,前提!$B$4-D31)</f>
        <v>0</v>
      </c>
      <c r="E33" s="25">
        <f>MAX(0,前提!$B$4-E31)</f>
        <v>11.15</v>
      </c>
      <c r="F33" s="25">
        <f>MAX(0,前提!$B$4-F31)</f>
        <v>213.9</v>
      </c>
      <c r="G33" s="25">
        <f>MAX(0,前提!$B$4-G31)</f>
        <v>218.9</v>
      </c>
      <c r="H33" s="25">
        <f>MAX(0,前提!$B$4-H31)</f>
        <v>223.9</v>
      </c>
      <c r="I33" s="25">
        <f>MAX(0,前提!$B$4-I31)</f>
        <v>240.9</v>
      </c>
      <c r="J33" s="25">
        <f>MAX(0,前提!$B$4-J31)</f>
        <v>245.9</v>
      </c>
      <c r="K33" s="25">
        <f>MAX(0,前提!$B$4-K31)</f>
        <v>250.9</v>
      </c>
      <c r="L33" s="25">
        <f>MAX(0,前提!$B$4-L31)</f>
        <v>255.9</v>
      </c>
      <c r="M33" s="25">
        <f>MAX(0,前提!$B$4-M31)</f>
        <v>260.9</v>
      </c>
      <c r="N33" s="25">
        <f>MAX(0,前提!$B$4-N31)</f>
        <v>265.9</v>
      </c>
      <c r="O33" s="25">
        <f>MAX(0,前提!$B$4-O31)</f>
        <v>270.9</v>
      </c>
      <c r="P33" s="25">
        <f>MAX(0,前提!$B$4-P31)</f>
        <v>275.9</v>
      </c>
      <c r="Q33" s="25">
        <f>MAX(0,前提!$B$4-Q31)</f>
        <v>280.9</v>
      </c>
      <c r="R33" s="25">
        <f>MAX(0,前提!$B$4-R31)</f>
        <v>285.9</v>
      </c>
      <c r="S33" s="25" t="n"/>
    </row>
    <row r="34">
      <c r="A34" s="6" t="inlineStr">
        <is>
          <t>累計案件支出</t>
        </is>
      </c>
      <c r="C34" s="24">
        <f>-SUM($C30:C30)</f>
        <v>30.0</v>
      </c>
      <c r="D34" s="24">
        <f>-SUM($C30:D30)</f>
        <v>59.65</v>
      </c>
      <c r="E34" s="24">
        <f>-SUM($C30:E30)</f>
        <v>256.45</v>
      </c>
      <c r="F34" s="24">
        <f>-SUM($C30:F30)</f>
        <v>452.2</v>
      </c>
      <c r="G34" s="24">
        <f>-SUM($C30:G30)</f>
        <v>452.2</v>
      </c>
      <c r="H34" s="24">
        <f>-SUM($C30:H30)</f>
        <v>452.2</v>
      </c>
      <c r="I34" s="24">
        <f>-SUM($C30:I30)</f>
        <v>464.2</v>
      </c>
      <c r="J34" s="24">
        <f>-SUM($C30:J30)</f>
        <v>464.2</v>
      </c>
      <c r="K34" s="24">
        <f>-SUM($C30:K30)</f>
        <v>464.2</v>
      </c>
      <c r="L34" s="24">
        <f>-SUM($C30:L30)</f>
        <v>464.2</v>
      </c>
      <c r="M34" s="24">
        <f>-SUM($C30:M30)</f>
        <v>464.2</v>
      </c>
      <c r="N34" s="24">
        <f>-SUM($C30:N30)</f>
        <v>464.2</v>
      </c>
      <c r="O34" s="24">
        <f>-SUM($C30:O30)</f>
        <v>464.2</v>
      </c>
      <c r="P34" s="24">
        <f>-SUM($C30:P30)</f>
        <v>464.2</v>
      </c>
      <c r="Q34" s="24">
        <f>-SUM($C30:Q30)</f>
        <v>464.2</v>
      </c>
      <c r="R34" s="24">
        <f>-SUM($C30:R30)</f>
        <v>464.2</v>
      </c>
      <c r="S34" s="24" t="n"/>
    </row>
    <row r="35">
      <c r="A35" s="6" t="inlineStr">
        <is>
          <t>安全水準割込み（1＝割込）</t>
        </is>
      </c>
      <c r="C35" s="24">
        <f>IF(C31&lt;前提!$B$4,1,0)</f>
        <v>0</v>
      </c>
      <c r="D35" s="24">
        <f>IF(D31&lt;前提!$B$4,1,0)</f>
        <v>0</v>
      </c>
      <c r="E35" s="24">
        <f>IF(E31&lt;前提!$B$4,1,0)</f>
        <v>1</v>
      </c>
      <c r="F35" s="24">
        <f>IF(F31&lt;前提!$B$4,1,0)</f>
        <v>1</v>
      </c>
      <c r="G35" s="24">
        <f>IF(G31&lt;前提!$B$4,1,0)</f>
        <v>1</v>
      </c>
      <c r="H35" s="24">
        <f>IF(H31&lt;前提!$B$4,1,0)</f>
        <v>1</v>
      </c>
      <c r="I35" s="24">
        <f>IF(I31&lt;前提!$B$4,1,0)</f>
        <v>1</v>
      </c>
      <c r="J35" s="24">
        <f>IF(J31&lt;前提!$B$4,1,0)</f>
        <v>1</v>
      </c>
      <c r="K35" s="24">
        <f>IF(K31&lt;前提!$B$4,1,0)</f>
        <v>1</v>
      </c>
      <c r="L35" s="24">
        <f>IF(L31&lt;前提!$B$4,1,0)</f>
        <v>1</v>
      </c>
      <c r="M35" s="24">
        <f>IF(M31&lt;前提!$B$4,1,0)</f>
        <v>1</v>
      </c>
      <c r="N35" s="24">
        <f>IF(N31&lt;前提!$B$4,1,0)</f>
        <v>1</v>
      </c>
      <c r="O35" s="24">
        <f>IF(O31&lt;前提!$B$4,1,0)</f>
        <v>1</v>
      </c>
      <c r="P35" s="24">
        <f>IF(P31&lt;前提!$B$4,1,0)</f>
        <v>1</v>
      </c>
      <c r="Q35" s="24">
        <f>IF(Q31&lt;前提!$B$4,1,0)</f>
        <v>1</v>
      </c>
      <c r="R35" s="24">
        <f>IF(R31&lt;前提!$B$4,1,0)</f>
        <v>1</v>
      </c>
      <c r="S35" s="24" t="n"/>
    </row>
    <row r="37">
      <c r="A37" s="4" t="inlineStr">
        <is>
          <t>Net Debt Capacity（連結・調達前）</t>
        </is>
      </c>
    </row>
    <row r="38">
      <c r="A38" s="6" t="inlineStr">
        <is>
          <t xml:space="preserve">　売掛金（既存＋クロージング後の案件）</t>
        </is>
      </c>
      <c r="C38" s="24">
        <f>前提!$B$60+SUMPRODUCT($B$6:$B$14,案件一覧!$N$4:$N$12,--(案件一覧!$M$4:$M$12&lt;=1))</f>
        <v>192.0</v>
      </c>
      <c r="D38" s="24">
        <f>前提!$B$60+SUMPRODUCT($B$6:$B$14,案件一覧!$N$4:$N$12,--(案件一覧!$M$4:$M$12&lt;=2))</f>
        <v>192.0</v>
      </c>
      <c r="E38" s="24">
        <f>前提!$B$60+SUMPRODUCT($B$6:$B$14,案件一覧!$N$4:$N$12,--(案件一覧!$M$4:$M$12&lt;=3))</f>
        <v>314.0</v>
      </c>
      <c r="F38" s="24">
        <f>前提!$B$60+SUMPRODUCT($B$6:$B$14,案件一覧!$N$4:$N$12,--(案件一覧!$M$4:$M$12&lt;=4))</f>
        <v>559.0</v>
      </c>
      <c r="G38" s="24">
        <f>前提!$B$60+SUMPRODUCT($B$6:$B$14,案件一覧!$N$4:$N$12,--(案件一覧!$M$4:$M$12&lt;=5))</f>
        <v>559.0</v>
      </c>
      <c r="H38" s="24">
        <f>前提!$B$60+SUMPRODUCT($B$6:$B$14,案件一覧!$N$4:$N$12,--(案件一覧!$M$4:$M$12&lt;=6))</f>
        <v>559.0</v>
      </c>
      <c r="I38" s="24">
        <f>前提!$B$60+SUMPRODUCT($B$6:$B$14,案件一覧!$N$4:$N$12,--(案件一覧!$M$4:$M$12&lt;=7))</f>
        <v>559.0</v>
      </c>
      <c r="J38" s="24">
        <f>前提!$B$60+SUMPRODUCT($B$6:$B$14,案件一覧!$N$4:$N$12,--(案件一覧!$M$4:$M$12&lt;=8))</f>
        <v>559.0</v>
      </c>
      <c r="K38" s="24">
        <f>前提!$B$60+SUMPRODUCT($B$6:$B$14,案件一覧!$N$4:$N$12,--(案件一覧!$M$4:$M$12&lt;=9))</f>
        <v>559.0</v>
      </c>
      <c r="L38" s="24">
        <f>前提!$B$60+SUMPRODUCT($B$6:$B$14,案件一覧!$N$4:$N$12,--(案件一覧!$M$4:$M$12&lt;=10))</f>
        <v>559.0</v>
      </c>
      <c r="M38" s="24">
        <f>前提!$B$60+SUMPRODUCT($B$6:$B$14,案件一覧!$N$4:$N$12,--(案件一覧!$M$4:$M$12&lt;=11))</f>
        <v>559.0</v>
      </c>
      <c r="N38" s="24">
        <f>前提!$B$60+SUMPRODUCT($B$6:$B$14,案件一覧!$N$4:$N$12,--(案件一覧!$M$4:$M$12&lt;=12))</f>
        <v>559.0</v>
      </c>
      <c r="O38" s="24">
        <f>前提!$B$60+SUMPRODUCT($B$6:$B$14,案件一覧!$N$4:$N$12,--(案件一覧!$M$4:$M$12&lt;=13))</f>
        <v>559.0</v>
      </c>
      <c r="P38" s="24">
        <f>前提!$B$60+SUMPRODUCT($B$6:$B$14,案件一覧!$N$4:$N$12,--(案件一覧!$M$4:$M$12&lt;=14))</f>
        <v>559.0</v>
      </c>
      <c r="Q38" s="24">
        <f>前提!$B$60+SUMPRODUCT($B$6:$B$14,案件一覧!$N$4:$N$12,--(案件一覧!$M$4:$M$12&lt;=15))</f>
        <v>559.0</v>
      </c>
      <c r="R38" s="24">
        <f>前提!$B$60+SUMPRODUCT($B$6:$B$14,案件一覧!$N$4:$N$12,--(案件一覧!$M$4:$M$12&lt;=16))</f>
        <v>559.0</v>
      </c>
      <c r="S38" s="24" t="n"/>
    </row>
    <row r="39">
      <c r="A39" s="6" t="inlineStr">
        <is>
          <t xml:space="preserve">　現預金（HD＋HT＋案件の残置現金）</t>
        </is>
      </c>
      <c r="C39" s="24">
        <f>C31+前提!D$57+SUMPRODUCT($B$6:$B$14,案件一覧!$O$4:$O$12,--(案件一覧!$M$4:$M$12&lt;=1))</f>
        <v>405.3</v>
      </c>
      <c r="D39" s="24">
        <f>D31+前提!E$57+SUMPRODUCT($B$6:$B$14,案件一覧!$O$4:$O$12,--(案件一覧!$M$4:$M$12&lt;=2))</f>
        <v>368.7</v>
      </c>
      <c r="E39" s="24">
        <f>E31+前提!F$57+SUMPRODUCT($B$6:$B$14,案件一覧!$O$4:$O$12,--(案件一覧!$M$4:$M$12&lt;=3))</f>
        <v>202.9</v>
      </c>
      <c r="F39" s="24">
        <f>F31+前提!G$57+SUMPRODUCT($B$6:$B$14,案件一覧!$O$4:$O$12,--(案件一覧!$M$4:$M$12&lt;=4))</f>
        <v>40.1</v>
      </c>
      <c r="G39" s="24">
        <f>G31+前提!H$57+SUMPRODUCT($B$6:$B$14,案件一覧!$O$4:$O$12,--(案件一覧!$M$4:$M$12&lt;=5))</f>
        <v>39.1</v>
      </c>
      <c r="H39" s="24">
        <f>H31+前提!I$57+SUMPRODUCT($B$6:$B$14,案件一覧!$O$4:$O$12,--(案件一覧!$M$4:$M$12&lt;=6))</f>
        <v>34.1</v>
      </c>
      <c r="I39" s="24">
        <f>I31+前提!J$57+SUMPRODUCT($B$6:$B$14,案件一覧!$O$4:$O$12,--(案件一覧!$M$4:$M$12&lt;=7))</f>
        <v>17.1</v>
      </c>
      <c r="J39" s="24">
        <f>J31+前提!K$57+SUMPRODUCT($B$6:$B$14,案件一覧!$O$4:$O$12,--(案件一覧!$M$4:$M$12&lt;=8))</f>
        <v>12.1</v>
      </c>
      <c r="K39" s="24">
        <f>K31+前提!L$57+SUMPRODUCT($B$6:$B$14,案件一覧!$O$4:$O$12,--(案件一覧!$M$4:$M$12&lt;=9))</f>
        <v>7.1</v>
      </c>
      <c r="L39" s="24">
        <f>L31+前提!M$57+SUMPRODUCT($B$6:$B$14,案件一覧!$O$4:$O$12,--(案件一覧!$M$4:$M$12&lt;=10))</f>
        <v>2.1</v>
      </c>
      <c r="M39" s="24">
        <f>M31+前提!N$57+SUMPRODUCT($B$6:$B$14,案件一覧!$O$4:$O$12,--(案件一覧!$M$4:$M$12&lt;=11))</f>
        <v>-2.9</v>
      </c>
      <c r="N39" s="24">
        <f>N31+前提!O$57+SUMPRODUCT($B$6:$B$14,案件一覧!$O$4:$O$12,--(案件一覧!$M$4:$M$12&lt;=12))</f>
        <v>-7.9</v>
      </c>
      <c r="O39" s="24">
        <f>O31+前提!P$57+SUMPRODUCT($B$6:$B$14,案件一覧!$O$4:$O$12,--(案件一覧!$M$4:$M$12&lt;=13))</f>
        <v>-12.9</v>
      </c>
      <c r="P39" s="24">
        <f>P31+前提!Q$57+SUMPRODUCT($B$6:$B$14,案件一覧!$O$4:$O$12,--(案件一覧!$M$4:$M$12&lt;=14))</f>
        <v>-17.9</v>
      </c>
      <c r="Q39" s="24">
        <f>Q31+前提!R$57+SUMPRODUCT($B$6:$B$14,案件一覧!$O$4:$O$12,--(案件一覧!$M$4:$M$12&lt;=15))</f>
        <v>-22.9</v>
      </c>
      <c r="R39" s="24">
        <f>R31+前提!S$57+SUMPRODUCT($B$6:$B$14,案件一覧!$O$4:$O$12,--(案件一覧!$M$4:$M$12&lt;=16))</f>
        <v>-27.9</v>
      </c>
      <c r="S39" s="24" t="n"/>
    </row>
    <row r="40">
      <c r="A40" s="6" t="inlineStr">
        <is>
          <t xml:space="preserve">　調整後EBITDA年換算（オーガニック＋案件現状値）</t>
        </is>
      </c>
      <c r="C40" s="24">
        <f>前提!D$56+SUMPRODUCT($B$6:$B$14,案件一覧!$E$4:$E$12,--(案件一覧!$M$4:$M$12&lt;=1))</f>
        <v>32</v>
      </c>
      <c r="D40" s="24">
        <f>前提!E$56+SUMPRODUCT($B$6:$B$14,案件一覧!$E$4:$E$12,--(案件一覧!$M$4:$M$12&lt;=2))</f>
        <v>34</v>
      </c>
      <c r="E40" s="24">
        <f>前提!F$56+SUMPRODUCT($B$6:$B$14,案件一覧!$E$4:$E$12,--(案件一覧!$M$4:$M$12&lt;=3))</f>
        <v>113</v>
      </c>
      <c r="F40" s="24">
        <f>前提!G$56+SUMPRODUCT($B$6:$B$14,案件一覧!$E$4:$E$12,--(案件一覧!$M$4:$M$12&lt;=4))</f>
        <v>118</v>
      </c>
      <c r="G40" s="24">
        <f>前提!H$56+SUMPRODUCT($B$6:$B$14,案件一覧!$E$4:$E$12,--(案件一覧!$M$4:$M$12&lt;=5))</f>
        <v>139</v>
      </c>
      <c r="H40" s="24">
        <f>前提!I$56+SUMPRODUCT($B$6:$B$14,案件一覧!$E$4:$E$12,--(案件一覧!$M$4:$M$12&lt;=6))</f>
        <v>139</v>
      </c>
      <c r="I40" s="24">
        <f>前提!J$56+SUMPRODUCT($B$6:$B$14,案件一覧!$E$4:$E$12,--(案件一覧!$M$4:$M$12&lt;=7))</f>
        <v>139</v>
      </c>
      <c r="J40" s="24">
        <f>前提!K$56+SUMPRODUCT($B$6:$B$14,案件一覧!$E$4:$E$12,--(案件一覧!$M$4:$M$12&lt;=8))</f>
        <v>139</v>
      </c>
      <c r="K40" s="24">
        <f>前提!L$56+SUMPRODUCT($B$6:$B$14,案件一覧!$E$4:$E$12,--(案件一覧!$M$4:$M$12&lt;=9))</f>
        <v>139</v>
      </c>
      <c r="L40" s="24">
        <f>前提!M$56+SUMPRODUCT($B$6:$B$14,案件一覧!$E$4:$E$12,--(案件一覧!$M$4:$M$12&lt;=10))</f>
        <v>139</v>
      </c>
      <c r="M40" s="24">
        <f>前提!N$56+SUMPRODUCT($B$6:$B$14,案件一覧!$E$4:$E$12,--(案件一覧!$M$4:$M$12&lt;=11))</f>
        <v>139</v>
      </c>
      <c r="N40" s="24">
        <f>前提!O$56+SUMPRODUCT($B$6:$B$14,案件一覧!$E$4:$E$12,--(案件一覧!$M$4:$M$12&lt;=12))</f>
        <v>139</v>
      </c>
      <c r="O40" s="24">
        <f>前提!P$56+SUMPRODUCT($B$6:$B$14,案件一覧!$E$4:$E$12,--(案件一覧!$M$4:$M$12&lt;=13))</f>
        <v>139</v>
      </c>
      <c r="P40" s="24">
        <f>前提!Q$56+SUMPRODUCT($B$6:$B$14,案件一覧!$E$4:$E$12,--(案件一覧!$M$4:$M$12&lt;=14))</f>
        <v>139</v>
      </c>
      <c r="Q40" s="24">
        <f>前提!R$56+SUMPRODUCT($B$6:$B$14,案件一覧!$E$4:$E$12,--(案件一覧!$M$4:$M$12&lt;=15))</f>
        <v>139</v>
      </c>
      <c r="R40" s="24">
        <f>前提!S$56+SUMPRODUCT($B$6:$B$14,案件一覧!$E$4:$E$12,--(案件一覧!$M$4:$M$12&lt;=16))</f>
        <v>139</v>
      </c>
      <c r="S40" s="24" t="n"/>
    </row>
    <row r="41">
      <c r="A41" s="6" t="inlineStr">
        <is>
          <t xml:space="preserve">　有利子負債（既存＋承継＋対象会社借入・最小化時）</t>
        </is>
      </c>
      <c r="C41" s="24">
        <f>前提!D$58+SUMPRODUCT($B$6:$B$14,案件一覧!$G$4:$G$12,--(案件一覧!$M$4:$M$12&lt;=1))+IF($B$3="最小化",SUMPRODUCT($B$6:$B$14,案件一覧!$P$4:$P$12,--(案件一覧!$Q$4:$Q$12&lt;=1)),0)</f>
        <v>410.0</v>
      </c>
      <c r="D41" s="24">
        <f>前提!E$58+SUMPRODUCT($B$6:$B$14,案件一覧!$G$4:$G$12,--(案件一覧!$M$4:$M$12&lt;=2))+IF($B$3="最小化",SUMPRODUCT($B$6:$B$14,案件一覧!$P$4:$P$12,--(案件一覧!$Q$4:$Q$12&lt;=2)),0)</f>
        <v>405.2</v>
      </c>
      <c r="E41" s="24">
        <f>前提!F$58+SUMPRODUCT($B$6:$B$14,案件一覧!$G$4:$G$12,--(案件一覧!$M$4:$M$12&lt;=3))+IF($B$3="最小化",SUMPRODUCT($B$6:$B$14,案件一覧!$P$4:$P$12,--(案件一覧!$Q$4:$Q$12&lt;=3)),0)</f>
        <v>525.2</v>
      </c>
      <c r="F41" s="24">
        <f>前提!G$58+SUMPRODUCT($B$6:$B$14,案件一覧!$G$4:$G$12,--(案件一覧!$M$4:$M$12&lt;=4))+IF($B$3="最小化",SUMPRODUCT($B$6:$B$14,案件一覧!$P$4:$P$12,--(案件一覧!$Q$4:$Q$12&lt;=4)),0)</f>
        <v>663.8</v>
      </c>
      <c r="G41" s="24">
        <f>前提!H$58+SUMPRODUCT($B$6:$B$14,案件一覧!$G$4:$G$12,--(案件一覧!$M$4:$M$12&lt;=5))+IF($B$3="最小化",SUMPRODUCT($B$6:$B$14,案件一覧!$P$4:$P$12,--(案件一覧!$Q$4:$Q$12&lt;=5)),0)</f>
        <v>658.9</v>
      </c>
      <c r="H41" s="24">
        <f>前提!I$58+SUMPRODUCT($B$6:$B$14,案件一覧!$G$4:$G$12,--(案件一覧!$M$4:$M$12&lt;=6))+IF($B$3="最小化",SUMPRODUCT($B$6:$B$14,案件一覧!$P$4:$P$12,--(案件一覧!$Q$4:$Q$12&lt;=6)),0)</f>
        <v>654.0</v>
      </c>
      <c r="I41" s="24">
        <f>前提!J$58+SUMPRODUCT($B$6:$B$14,案件一覧!$G$4:$G$12,--(案件一覧!$M$4:$M$12&lt;=7))+IF($B$3="最小化",SUMPRODUCT($B$6:$B$14,案件一覧!$P$4:$P$12,--(案件一覧!$Q$4:$Q$12&lt;=7)),0)</f>
        <v>649.2</v>
      </c>
      <c r="J41" s="24">
        <f>前提!K$58+SUMPRODUCT($B$6:$B$14,案件一覧!$G$4:$G$12,--(案件一覧!$M$4:$M$12&lt;=8))+IF($B$3="最小化",SUMPRODUCT($B$6:$B$14,案件一覧!$P$4:$P$12,--(案件一覧!$Q$4:$Q$12&lt;=8)),0)</f>
        <v>644.4</v>
      </c>
      <c r="K41" s="24">
        <f>前提!L$58+SUMPRODUCT($B$6:$B$14,案件一覧!$G$4:$G$12,--(案件一覧!$M$4:$M$12&lt;=9))+IF($B$3="最小化",SUMPRODUCT($B$6:$B$14,案件一覧!$P$4:$P$12,--(案件一覧!$Q$4:$Q$12&lt;=9)),0)</f>
        <v>689.5</v>
      </c>
      <c r="L41" s="24">
        <f>前提!M$58+SUMPRODUCT($B$6:$B$14,案件一覧!$G$4:$G$12,--(案件一覧!$M$4:$M$12&lt;=10))+IF($B$3="最小化",SUMPRODUCT($B$6:$B$14,案件一覧!$P$4:$P$12,--(案件一覧!$Q$4:$Q$12&lt;=10)),0)</f>
        <v>684.6</v>
      </c>
      <c r="M41" s="24">
        <f>前提!N$58+SUMPRODUCT($B$6:$B$14,案件一覧!$G$4:$G$12,--(案件一覧!$M$4:$M$12&lt;=11))+IF($B$3="最小化",SUMPRODUCT($B$6:$B$14,案件一覧!$P$4:$P$12,--(案件一覧!$Q$4:$Q$12&lt;=11)),0)</f>
        <v>679.8</v>
      </c>
      <c r="N41" s="24">
        <f>前提!O$58+SUMPRODUCT($B$6:$B$14,案件一覧!$G$4:$G$12,--(案件一覧!$M$4:$M$12&lt;=12))+IF($B$3="最小化",SUMPRODUCT($B$6:$B$14,案件一覧!$P$4:$P$12,--(案件一覧!$Q$4:$Q$12&lt;=12)),0)</f>
        <v>674.9</v>
      </c>
      <c r="O41" s="24">
        <f>前提!P$58+SUMPRODUCT($B$6:$B$14,案件一覧!$G$4:$G$12,--(案件一覧!$M$4:$M$12&lt;=13))+IF($B$3="最小化",SUMPRODUCT($B$6:$B$14,案件一覧!$P$4:$P$12,--(案件一覧!$Q$4:$Q$12&lt;=13)),0)</f>
        <v>670.1</v>
      </c>
      <c r="P41" s="24">
        <f>前提!Q$58+SUMPRODUCT($B$6:$B$14,案件一覧!$G$4:$G$12,--(案件一覧!$M$4:$M$12&lt;=14))+IF($B$3="最小化",SUMPRODUCT($B$6:$B$14,案件一覧!$P$4:$P$12,--(案件一覧!$Q$4:$Q$12&lt;=14)),0)</f>
        <v>665.2</v>
      </c>
      <c r="Q41" s="24">
        <f>前提!R$58+SUMPRODUCT($B$6:$B$14,案件一覧!$G$4:$G$12,--(案件一覧!$M$4:$M$12&lt;=15))+IF($B$3="最小化",SUMPRODUCT($B$6:$B$14,案件一覧!$P$4:$P$12,--(案件一覧!$Q$4:$Q$12&lt;=15)),0)</f>
        <v>660.4</v>
      </c>
      <c r="R41" s="24">
        <f>前提!S$58+SUMPRODUCT($B$6:$B$14,案件一覧!$G$4:$G$12,--(案件一覧!$M$4:$M$12&lt;=16))+IF($B$3="最小化",SUMPRODUCT($B$6:$B$14,案件一覧!$P$4:$P$12,--(案件一覧!$Q$4:$Q$12&lt;=16)),0)</f>
        <v>655.5</v>
      </c>
      <c r="S41" s="24" t="n"/>
    </row>
    <row r="42">
      <c r="A42" s="4" t="inlineStr">
        <is>
          <t>Net Debt Capacity ＝ EBITDA×4＋売掛金＋現預金−有利子負債</t>
        </is>
      </c>
      <c r="C42" s="26">
        <f>C40*4+C38+C39-C41</f>
        <v>315.2</v>
      </c>
      <c r="D42" s="26">
        <f>D40*4+D38+D39-D41</f>
        <v>291.5</v>
      </c>
      <c r="E42" s="26">
        <f>E40*4+E38+E39-E41</f>
        <v>443.7</v>
      </c>
      <c r="F42" s="26">
        <f>F40*4+F38+F39-F41</f>
        <v>407.3</v>
      </c>
      <c r="G42" s="26">
        <f>G40*4+G38+G39-G41</f>
        <v>495.2</v>
      </c>
      <c r="H42" s="26">
        <f>H40*4+H38+H39-H41</f>
        <v>495.0</v>
      </c>
      <c r="I42" s="26">
        <f>I40*4+I38+I39-I41</f>
        <v>482.9</v>
      </c>
      <c r="J42" s="26">
        <f>J40*4+J38+J39-J41</f>
        <v>482.7</v>
      </c>
      <c r="K42" s="26">
        <f>K40*4+K38+K39-K41</f>
        <v>432.6</v>
      </c>
      <c r="L42" s="26">
        <f>L40*4+L38+L39-L41</f>
        <v>432.4</v>
      </c>
      <c r="M42" s="26">
        <f>M40*4+M38+M39-M41</f>
        <v>432.3</v>
      </c>
      <c r="N42" s="26">
        <f>N40*4+N38+N39-N41</f>
        <v>432.1</v>
      </c>
      <c r="O42" s="26">
        <f>O40*4+O38+O39-O41</f>
        <v>432.0</v>
      </c>
      <c r="P42" s="26">
        <f>P40*4+P38+P39-P41</f>
        <v>431.8</v>
      </c>
      <c r="Q42" s="26">
        <f>Q40*4+Q38+Q39-Q41</f>
        <v>431.7</v>
      </c>
      <c r="R42" s="26">
        <f>R40*4+R38+R39-R41</f>
        <v>431.5</v>
      </c>
      <c r="S42" s="26" t="n"/>
    </row>
    <row r="45">
      <c r="A45" s="4" t="inlineStr">
        <is>
          <t>サマリー指標</t>
        </is>
      </c>
    </row>
    <row r="46">
      <c r="A46" s="6" t="inlineStr">
        <is>
          <t>総支出（案件・16ヶ月）</t>
        </is>
      </c>
      <c r="B46" s="21">
        <f>-S30</f>
        <v>464.2</v>
      </c>
    </row>
    <row r="47">
      <c r="A47" s="6" t="inlineStr">
        <is>
          <t>最低残高</t>
        </is>
      </c>
      <c r="B47" s="21">
        <f>MIN(C31:R31)</f>
        <v>-185.9</v>
      </c>
    </row>
    <row r="48">
      <c r="A48" s="6" t="inlineStr">
        <is>
          <t>最低残高の月</t>
        </is>
      </c>
      <c r="B48" s="4" t="str">
        <f>INDEX($C$17:$R$17,MATCH(B47,C31:R31,0))</f>
        <v>2027/12</v>
      </c>
    </row>
    <row r="49">
      <c r="A49" s="6" t="inlineStr">
        <is>
          <t>初めて安全水準を割る月</t>
        </is>
      </c>
      <c r="B49" s="4" t="str">
        <f>IFERROR(INDEX($C$17:$R$17,MATCH(1,C35:R35,0)),"—")</f>
        <v>2026/11</v>
      </c>
    </row>
    <row r="50">
      <c r="A50" s="6" t="inlineStr">
        <is>
          <t>必要調達額（2027/12まで）</t>
        </is>
      </c>
      <c r="B50" s="21">
        <f>MAX(C33:R33)</f>
        <v>285.9</v>
      </c>
    </row>
    <row r="51">
      <c r="A51" s="6" t="inlineStr">
        <is>
          <t>2026/11までの不足</t>
        </is>
      </c>
      <c r="B51" s="21">
        <f>E33</f>
        <v>11.15</v>
      </c>
    </row>
    <row r="52">
      <c r="A52" s="6" t="inlineStr">
        <is>
          <t>2027/1までの不足</t>
        </is>
      </c>
      <c r="B52" s="21">
        <f>G33</f>
        <v>218.9</v>
      </c>
    </row>
    <row r="53">
      <c r="A53" s="6" t="inlineStr">
        <is>
          <t>2027/3までの不足</t>
        </is>
      </c>
      <c r="B53" s="21">
        <f>I33</f>
        <v>240.9</v>
      </c>
    </row>
    <row r="54">
      <c r="A54" s="6" t="inlineStr">
        <is>
          <t>2027/12 期末現預金</t>
        </is>
      </c>
      <c r="B54" s="21">
        <f>R31</f>
        <v>-185.9</v>
      </c>
    </row>
    <row r="55">
      <c r="A55" s="6" t="inlineStr">
        <is>
          <t>年換算売上（オーガニック＋実行案件）</t>
        </is>
      </c>
      <c r="B55" s="27">
        <f>前提!$B$5+SUMPRODUCT($B$6:$B$14,案件一覧!$D$4:$D$12)</f>
        <v>3596</v>
      </c>
    </row>
    <row r="56">
      <c r="A56" s="6" t="inlineStr">
        <is>
          <t>年換算 調整後EBITDA（現状）</t>
        </is>
      </c>
      <c r="B56" s="27">
        <f>前提!$B$6+SUMPRODUCT($B$6:$B$14,案件一覧!$E$4:$E$12)</f>
        <v>139</v>
      </c>
    </row>
    <row r="57">
      <c r="A57" s="6" t="inlineStr">
        <is>
          <t>年換算 調整後EBITDA（改善後）</t>
        </is>
      </c>
      <c r="B57" s="27">
        <f>前提!$B$6+SUMPRODUCT($B$6:$B$14,案件一覧!$F$4:$F$12)</f>
        <v>249</v>
      </c>
    </row>
    <row r="58">
      <c r="A58" s="6" t="inlineStr">
        <is>
          <t>承継・残置負債</t>
        </is>
      </c>
      <c r="B58" s="21">
        <f>SUMPRODUCT($B$6:$B$14,案件一覧!$G$4:$G$12)</f>
        <v>188.25</v>
      </c>
    </row>
    <row r="59">
      <c r="A59" s="6" t="inlineStr">
        <is>
          <t>Net Debt Capacity 2026/12</t>
        </is>
      </c>
      <c r="B59" s="21">
        <f>F42</f>
        <v>407.3</v>
      </c>
    </row>
    <row r="60">
      <c r="A60" s="6" t="inlineStr">
        <is>
          <t>Net Debt Capacity 2027/12</t>
        </is>
      </c>
      <c r="B60" s="21">
        <f>R42</f>
        <v>431.5</v>
      </c>
    </row>
    <row r="61">
      <c r="A61" s="6" t="inlineStr">
        <is>
          <t>2027/12 有利子負債（調達前）</t>
        </is>
      </c>
      <c r="B61" s="21">
        <f>R41</f>
        <v>655.5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61"/>
  <sheetViews>
    <sheetView workbookViewId="0">
      <pane xSplit="2" ySplit="17" topLeftCell="C18"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0" customWidth="1" min="19" max="19"/>
  </cols>
  <sheetData>
    <row r="1">
      <c r="A1" s="14" t="inlineStr">
        <is>
          <t>S5 全件（＋日本経営C＋セレサ） — HD単体 月次キャッシュ推移（百万円）</t>
        </is>
      </c>
    </row>
    <row r="2">
      <c r="A2" s="2" t="inlineStr">
        <is>
          <t>実行フラグ（1＝実行、0＝見送り）とモード（現行／最小化）を変えると全体が再計算されます。青字＝入力値</t>
        </is>
      </c>
    </row>
    <row r="3">
      <c r="A3" s="4" t="inlineStr">
        <is>
          <t>モード</t>
        </is>
      </c>
      <c r="B3" s="23" t="inlineStr">
        <is>
          <t>最小化</t>
        </is>
      </c>
      <c r="C3" s="2" t="inlineStr">
        <is>
          <t>← 「現行」または「最小化」</t>
        </is>
      </c>
    </row>
    <row r="5">
      <c r="A5" s="3" t="inlineStr">
        <is>
          <t>案件</t>
        </is>
      </c>
      <c r="B5" s="3" t="inlineStr">
        <is>
          <t>実行フラグ</t>
        </is>
      </c>
    </row>
    <row r="6">
      <c r="A6" s="6" t="inlineStr">
        <is>
          <t>HT100%化</t>
        </is>
      </c>
      <c r="B6" s="23" t="n">
        <v>1</v>
      </c>
    </row>
    <row r="7">
      <c r="A7" s="6" t="inlineStr">
        <is>
          <t>メディプロ</t>
        </is>
      </c>
      <c r="B7" s="23" t="n">
        <v>1</v>
      </c>
    </row>
    <row r="8">
      <c r="A8" s="6" t="inlineStr">
        <is>
          <t>ヒューマンアイ</t>
        </is>
      </c>
      <c r="B8" s="23" t="n">
        <v>1</v>
      </c>
    </row>
    <row r="9">
      <c r="A9" s="6" t="inlineStr">
        <is>
          <t>クレッシェンド</t>
        </is>
      </c>
      <c r="B9" s="23" t="n">
        <v>1</v>
      </c>
    </row>
    <row r="10">
      <c r="A10" s="6" t="inlineStr">
        <is>
          <t>ワイズケア</t>
        </is>
      </c>
      <c r="B10" s="23" t="n">
        <v>1</v>
      </c>
    </row>
    <row r="11">
      <c r="A11" s="6" t="inlineStr">
        <is>
          <t>エーステイスト</t>
        </is>
      </c>
      <c r="B11" s="23" t="n">
        <v>1</v>
      </c>
    </row>
    <row r="12">
      <c r="A12" s="6" t="inlineStr">
        <is>
          <t>日本経営センター</t>
        </is>
      </c>
      <c r="B12" s="23" t="n">
        <v>1</v>
      </c>
    </row>
    <row r="13">
      <c r="A13" s="6" t="inlineStr">
        <is>
          <t>セレサ</t>
        </is>
      </c>
      <c r="B13" s="23" t="n">
        <v>1</v>
      </c>
    </row>
    <row r="14">
      <c r="A14" s="6" t="inlineStr">
        <is>
          <t>シルバーメディカル</t>
        </is>
      </c>
      <c r="B14" s="23" t="n">
        <v>1</v>
      </c>
    </row>
    <row r="17">
      <c r="A17" s="3" t="inlineStr">
        <is>
          <t>項目</t>
        </is>
      </c>
      <c r="B17" s="3" t="inlineStr"/>
      <c r="C17" s="3" t="inlineStr">
        <is>
          <t>2026/9</t>
        </is>
      </c>
      <c r="D17" s="3" t="inlineStr">
        <is>
          <t>2026/10</t>
        </is>
      </c>
      <c r="E17" s="3" t="inlineStr">
        <is>
          <t>2026/11</t>
        </is>
      </c>
      <c r="F17" s="3" t="inlineStr">
        <is>
          <t>2026/12</t>
        </is>
      </c>
      <c r="G17" s="3" t="inlineStr">
        <is>
          <t>2027/1</t>
        </is>
      </c>
      <c r="H17" s="3" t="inlineStr">
        <is>
          <t>2027/2</t>
        </is>
      </c>
      <c r="I17" s="3" t="inlineStr">
        <is>
          <t>2027/3</t>
        </is>
      </c>
      <c r="J17" s="3" t="inlineStr">
        <is>
          <t>2027/4</t>
        </is>
      </c>
      <c r="K17" s="3" t="inlineStr">
        <is>
          <t>2027/5</t>
        </is>
      </c>
      <c r="L17" s="3" t="inlineStr">
        <is>
          <t>2027/6</t>
        </is>
      </c>
      <c r="M17" s="3" t="inlineStr">
        <is>
          <t>2027/7</t>
        </is>
      </c>
      <c r="N17" s="3" t="inlineStr">
        <is>
          <t>2027/8</t>
        </is>
      </c>
      <c r="O17" s="3" t="inlineStr">
        <is>
          <t>2027/9</t>
        </is>
      </c>
      <c r="P17" s="3" t="inlineStr">
        <is>
          <t>2027/10</t>
        </is>
      </c>
      <c r="Q17" s="3" t="inlineStr">
        <is>
          <t>2027/11</t>
        </is>
      </c>
      <c r="R17" s="3" t="inlineStr">
        <is>
          <t>2027/12</t>
        </is>
      </c>
      <c r="S17" s="3" t="inlineStr">
        <is>
          <t>合計</t>
        </is>
      </c>
    </row>
    <row r="18">
      <c r="A18" s="4" t="inlineStr">
        <is>
          <t>期首現預金</t>
        </is>
      </c>
      <c r="C18" s="21">
        <f>前提!$B$3</f>
        <v>366.3</v>
      </c>
      <c r="D18" s="21">
        <f>C31</f>
        <v>329.3</v>
      </c>
      <c r="E18" s="21">
        <f>D31</f>
        <v>292.65</v>
      </c>
      <c r="F18" s="21">
        <f>E31</f>
        <v>88.85</v>
      </c>
      <c r="G18" s="21">
        <f>F31</f>
        <v>-118.65</v>
      </c>
      <c r="H18" s="21">
        <f>G31</f>
        <v>-211.4</v>
      </c>
      <c r="I18" s="21">
        <f>H31</f>
        <v>-218.5</v>
      </c>
      <c r="J18" s="21">
        <f>I31</f>
        <v>-291.0</v>
      </c>
      <c r="K18" s="21">
        <f>J31</f>
        <v>-296.0</v>
      </c>
      <c r="L18" s="21">
        <f>K31</f>
        <v>-301.0</v>
      </c>
      <c r="M18" s="21">
        <f>L31</f>
        <v>-306.0</v>
      </c>
      <c r="N18" s="21">
        <f>M31</f>
        <v>-311.0</v>
      </c>
      <c r="O18" s="21">
        <f>N31</f>
        <v>-316.0</v>
      </c>
      <c r="P18" s="21">
        <f>O31</f>
        <v>-321.0</v>
      </c>
      <c r="Q18" s="21">
        <f>P31</f>
        <v>-326.0</v>
      </c>
      <c r="R18" s="21">
        <f>Q31</f>
        <v>-331.0</v>
      </c>
      <c r="S18" s="21" t="n"/>
    </row>
    <row r="19">
      <c r="A19" s="6" t="inlineStr">
        <is>
          <t>HD運営費</t>
        </is>
      </c>
      <c r="C19" s="24">
        <f>前提!D$11</f>
        <v>-7</v>
      </c>
      <c r="D19" s="24">
        <f>前提!E$11</f>
        <v>-7</v>
      </c>
      <c r="E19" s="24">
        <f>前提!F$11</f>
        <v>-7</v>
      </c>
      <c r="F19" s="24">
        <f>前提!G$11</f>
        <v>-7</v>
      </c>
      <c r="G19" s="24">
        <f>前提!H$11</f>
        <v>-5</v>
      </c>
      <c r="H19" s="24">
        <f>前提!I$11</f>
        <v>-5</v>
      </c>
      <c r="I19" s="24">
        <f>前提!J$11</f>
        <v>-5</v>
      </c>
      <c r="J19" s="24">
        <f>前提!K$11</f>
        <v>-5</v>
      </c>
      <c r="K19" s="24">
        <f>前提!L$11</f>
        <v>-5</v>
      </c>
      <c r="L19" s="24">
        <f>前提!M$11</f>
        <v>-5</v>
      </c>
      <c r="M19" s="24">
        <f>前提!N$11</f>
        <v>-5</v>
      </c>
      <c r="N19" s="24">
        <f>前提!O$11</f>
        <v>-5</v>
      </c>
      <c r="O19" s="24">
        <f>前提!P$11</f>
        <v>-5</v>
      </c>
      <c r="P19" s="24">
        <f>前提!Q$11</f>
        <v>-5</v>
      </c>
      <c r="Q19" s="24">
        <f>前提!R$11</f>
        <v>-5</v>
      </c>
      <c r="R19" s="24">
        <f>前提!S$11</f>
        <v>-5</v>
      </c>
      <c r="S19" s="24">
        <f>SUM(C19:R19)</f>
        <v>-88</v>
      </c>
    </row>
    <row r="20">
      <c r="A20" s="4" t="inlineStr">
        <is>
          <t>案件支出（マイナスは対象会社借入等による軽減）</t>
        </is>
      </c>
    </row>
    <row r="21">
      <c r="A21" s="6" t="inlineStr">
        <is>
          <t xml:space="preserve">　HT100%化</t>
        </is>
      </c>
      <c r="C21" s="24">
        <f>-$B$6*(SUMIFS(前提!$D$12:$D$51,前提!$A$12:$A$51,TRIM($A21),前提!$C$12:$C$51,"共通")+SUMIFS(前提!$D$12:$D$51,前提!$A$12:$A$51,TRIM($A21),前提!$C$12:$C$51,$B$3))</f>
        <v>-30.0</v>
      </c>
      <c r="D21" s="24">
        <f>-$B$6*(SUMIFS(前提!$E$12:$E$51,前提!$A$12:$A$51,TRIM($A21),前提!$C$12:$C$51,"共通")+SUMIFS(前提!$E$12:$E$51,前提!$A$12:$A$51,TRIM($A21),前提!$C$12:$C$51,$B$3))</f>
        <v>0</v>
      </c>
      <c r="E21" s="24">
        <f>-$B$6*(SUMIFS(前提!$F$12:$F$51,前提!$A$12:$A$51,TRIM($A21),前提!$C$12:$C$51,"共通")+SUMIFS(前提!$F$12:$F$51,前提!$A$12:$A$51,TRIM($A21),前提!$C$12:$C$51,$B$3))</f>
        <v>0</v>
      </c>
      <c r="F21" s="24">
        <f>-$B$6*(SUMIFS(前提!$G$12:$G$51,前提!$A$12:$A$51,TRIM($A21),前提!$C$12:$C$51,"共通")+SUMIFS(前提!$G$12:$G$51,前提!$A$12:$A$51,TRIM($A21),前提!$C$12:$C$51,$B$3))</f>
        <v>0</v>
      </c>
      <c r="G21" s="24">
        <f>-$B$6*(SUMIFS(前提!$H$12:$H$51,前提!$A$12:$A$51,TRIM($A21),前提!$C$12:$C$51,"共通")+SUMIFS(前提!$H$12:$H$51,前提!$A$12:$A$51,TRIM($A21),前提!$C$12:$C$51,$B$3))</f>
        <v>0</v>
      </c>
      <c r="H21" s="24">
        <f>-$B$6*(SUMIFS(前提!$I$12:$I$51,前提!$A$12:$A$51,TRIM($A21),前提!$C$12:$C$51,"共通")+SUMIFS(前提!$I$12:$I$51,前提!$A$12:$A$51,TRIM($A21),前提!$C$12:$C$51,$B$3))</f>
        <v>0</v>
      </c>
      <c r="I21" s="24">
        <f>-$B$6*(SUMIFS(前提!$J$12:$J$51,前提!$A$12:$A$51,TRIM($A21),前提!$C$12:$C$51,"共通")+SUMIFS(前提!$J$12:$J$51,前提!$A$12:$A$51,TRIM($A21),前提!$C$12:$C$51,$B$3))</f>
        <v>0</v>
      </c>
      <c r="J21" s="24">
        <f>-$B$6*(SUMIFS(前提!$K$12:$K$51,前提!$A$12:$A$51,TRIM($A21),前提!$C$12:$C$51,"共通")+SUMIFS(前提!$K$12:$K$51,前提!$A$12:$A$51,TRIM($A21),前提!$C$12:$C$51,$B$3))</f>
        <v>0</v>
      </c>
      <c r="K21" s="24">
        <f>-$B$6*(SUMIFS(前提!$L$12:$L$51,前提!$A$12:$A$51,TRIM($A21),前提!$C$12:$C$51,"共通")+SUMIFS(前提!$L$12:$L$51,前提!$A$12:$A$51,TRIM($A21),前提!$C$12:$C$51,$B$3))</f>
        <v>0</v>
      </c>
      <c r="L21" s="24">
        <f>-$B$6*(SUMIFS(前提!$M$12:$M$51,前提!$A$12:$A$51,TRIM($A21),前提!$C$12:$C$51,"共通")+SUMIFS(前提!$M$12:$M$51,前提!$A$12:$A$51,TRIM($A21),前提!$C$12:$C$51,$B$3))</f>
        <v>0</v>
      </c>
      <c r="M21" s="24">
        <f>-$B$6*(SUMIFS(前提!$N$12:$N$51,前提!$A$12:$A$51,TRIM($A21),前提!$C$12:$C$51,"共通")+SUMIFS(前提!$N$12:$N$51,前提!$A$12:$A$51,TRIM($A21),前提!$C$12:$C$51,$B$3))</f>
        <v>0</v>
      </c>
      <c r="N21" s="24">
        <f>-$B$6*(SUMIFS(前提!$O$12:$O$51,前提!$A$12:$A$51,TRIM($A21),前提!$C$12:$C$51,"共通")+SUMIFS(前提!$O$12:$O$51,前提!$A$12:$A$51,TRIM($A21),前提!$C$12:$C$51,$B$3))</f>
        <v>0</v>
      </c>
      <c r="O21" s="24">
        <f>-$B$6*(SUMIFS(前提!$P$12:$P$51,前提!$A$12:$A$51,TRIM($A21),前提!$C$12:$C$51,"共通")+SUMIFS(前提!$P$12:$P$51,前提!$A$12:$A$51,TRIM($A21),前提!$C$12:$C$51,$B$3))</f>
        <v>0</v>
      </c>
      <c r="P21" s="24">
        <f>-$B$6*(SUMIFS(前提!$Q$12:$Q$51,前提!$A$12:$A$51,TRIM($A21),前提!$C$12:$C$51,"共通")+SUMIFS(前提!$Q$12:$Q$51,前提!$A$12:$A$51,TRIM($A21),前提!$C$12:$C$51,$B$3))</f>
        <v>0</v>
      </c>
      <c r="Q21" s="24">
        <f>-$B$6*(SUMIFS(前提!$R$12:$R$51,前提!$A$12:$A$51,TRIM($A21),前提!$C$12:$C$51,"共通")+SUMIFS(前提!$R$12:$R$51,前提!$A$12:$A$51,TRIM($A21),前提!$C$12:$C$51,$B$3))</f>
        <v>0</v>
      </c>
      <c r="R21" s="24">
        <f>-$B$6*(SUMIFS(前提!$S$12:$S$51,前提!$A$12:$A$51,TRIM($A21),前提!$C$12:$C$51,"共通")+SUMIFS(前提!$S$12:$S$51,前提!$A$12:$A$51,TRIM($A21),前提!$C$12:$C$51,$B$3))</f>
        <v>0</v>
      </c>
      <c r="S21" s="24">
        <f>SUM(C21:R21)</f>
        <v>-30.0</v>
      </c>
    </row>
    <row r="22">
      <c r="A22" s="6" t="inlineStr">
        <is>
          <t xml:space="preserve">　メディプロ</t>
        </is>
      </c>
      <c r="C22" s="24">
        <f>-$B$7*(SUMIFS(前提!$D$12:$D$51,前提!$A$12:$A$51,TRIM($A22),前提!$C$12:$C$51,"共通")+SUMIFS(前提!$D$12:$D$51,前提!$A$12:$A$51,TRIM($A22),前提!$C$12:$C$51,$B$3))</f>
        <v>0</v>
      </c>
      <c r="D22" s="24">
        <f>-$B$7*(SUMIFS(前提!$E$12:$E$51,前提!$A$12:$A$51,TRIM($A22),前提!$C$12:$C$51,"共通")+SUMIFS(前提!$E$12:$E$51,前提!$A$12:$A$51,TRIM($A22),前提!$C$12:$C$51,$B$3))</f>
        <v>-1.5</v>
      </c>
      <c r="E22" s="24">
        <f>-$B$7*(SUMIFS(前提!$F$12:$F$51,前提!$A$12:$A$51,TRIM($A22),前提!$C$12:$C$51,"共通")+SUMIFS(前提!$F$12:$F$51,前提!$A$12:$A$51,TRIM($A22),前提!$C$12:$C$51,$B$3))</f>
        <v>-30.5</v>
      </c>
      <c r="F22" s="24">
        <f>-$B$7*(SUMIFS(前提!$G$12:$G$51,前提!$A$12:$A$51,TRIM($A22),前提!$C$12:$C$51,"共通")+SUMIFS(前提!$G$12:$G$51,前提!$A$12:$A$51,TRIM($A22),前提!$C$12:$C$51,$B$3))</f>
        <v>0</v>
      </c>
      <c r="G22" s="24">
        <f>-$B$7*(SUMIFS(前提!$H$12:$H$51,前提!$A$12:$A$51,TRIM($A22),前提!$C$12:$C$51,"共通")+SUMIFS(前提!$H$12:$H$51,前提!$A$12:$A$51,TRIM($A22),前提!$C$12:$C$51,$B$3))</f>
        <v>0</v>
      </c>
      <c r="H22" s="24">
        <f>-$B$7*(SUMIFS(前提!$I$12:$I$51,前提!$A$12:$A$51,TRIM($A22),前提!$C$12:$C$51,"共通")+SUMIFS(前提!$I$12:$I$51,前提!$A$12:$A$51,TRIM($A22),前提!$C$12:$C$51,$B$3))</f>
        <v>0</v>
      </c>
      <c r="I22" s="24">
        <f>-$B$7*(SUMIFS(前提!$J$12:$J$51,前提!$A$12:$A$51,TRIM($A22),前提!$C$12:$C$51,"共通")+SUMIFS(前提!$J$12:$J$51,前提!$A$12:$A$51,TRIM($A22),前提!$C$12:$C$51,$B$3))</f>
        <v>0</v>
      </c>
      <c r="J22" s="24">
        <f>-$B$7*(SUMIFS(前提!$K$12:$K$51,前提!$A$12:$A$51,TRIM($A22),前提!$C$12:$C$51,"共通")+SUMIFS(前提!$K$12:$K$51,前提!$A$12:$A$51,TRIM($A22),前提!$C$12:$C$51,$B$3))</f>
        <v>0</v>
      </c>
      <c r="K22" s="24">
        <f>-$B$7*(SUMIFS(前提!$L$12:$L$51,前提!$A$12:$A$51,TRIM($A22),前提!$C$12:$C$51,"共通")+SUMIFS(前提!$L$12:$L$51,前提!$A$12:$A$51,TRIM($A22),前提!$C$12:$C$51,$B$3))</f>
        <v>0</v>
      </c>
      <c r="L22" s="24">
        <f>-$B$7*(SUMIFS(前提!$M$12:$M$51,前提!$A$12:$A$51,TRIM($A22),前提!$C$12:$C$51,"共通")+SUMIFS(前提!$M$12:$M$51,前提!$A$12:$A$51,TRIM($A22),前提!$C$12:$C$51,$B$3))</f>
        <v>0</v>
      </c>
      <c r="M22" s="24">
        <f>-$B$7*(SUMIFS(前提!$N$12:$N$51,前提!$A$12:$A$51,TRIM($A22),前提!$C$12:$C$51,"共通")+SUMIFS(前提!$N$12:$N$51,前提!$A$12:$A$51,TRIM($A22),前提!$C$12:$C$51,$B$3))</f>
        <v>0</v>
      </c>
      <c r="N22" s="24">
        <f>-$B$7*(SUMIFS(前提!$O$12:$O$51,前提!$A$12:$A$51,TRIM($A22),前提!$C$12:$C$51,"共通")+SUMIFS(前提!$O$12:$O$51,前提!$A$12:$A$51,TRIM($A22),前提!$C$12:$C$51,$B$3))</f>
        <v>0</v>
      </c>
      <c r="O22" s="24">
        <f>-$B$7*(SUMIFS(前提!$P$12:$P$51,前提!$A$12:$A$51,TRIM($A22),前提!$C$12:$C$51,"共通")+SUMIFS(前提!$P$12:$P$51,前提!$A$12:$A$51,TRIM($A22),前提!$C$12:$C$51,$B$3))</f>
        <v>0</v>
      </c>
      <c r="P22" s="24">
        <f>-$B$7*(SUMIFS(前提!$Q$12:$Q$51,前提!$A$12:$A$51,TRIM($A22),前提!$C$12:$C$51,"共通")+SUMIFS(前提!$Q$12:$Q$51,前提!$A$12:$A$51,TRIM($A22),前提!$C$12:$C$51,$B$3))</f>
        <v>0</v>
      </c>
      <c r="Q22" s="24">
        <f>-$B$7*(SUMIFS(前提!$R$12:$R$51,前提!$A$12:$A$51,TRIM($A22),前提!$C$12:$C$51,"共通")+SUMIFS(前提!$R$12:$R$51,前提!$A$12:$A$51,TRIM($A22),前提!$C$12:$C$51,$B$3))</f>
        <v>0</v>
      </c>
      <c r="R22" s="24">
        <f>-$B$7*(SUMIFS(前提!$S$12:$S$51,前提!$A$12:$A$51,TRIM($A22),前提!$C$12:$C$51,"共通")+SUMIFS(前提!$S$12:$S$51,前提!$A$12:$A$51,TRIM($A22),前提!$C$12:$C$51,$B$3))</f>
        <v>0</v>
      </c>
      <c r="S22" s="24">
        <f>SUM(C22:R22)</f>
        <v>-32.0</v>
      </c>
    </row>
    <row r="23">
      <c r="A23" s="6" t="inlineStr">
        <is>
          <t xml:space="preserve">　ヒューマンアイ</t>
        </is>
      </c>
      <c r="C23" s="24">
        <f>-$B$8*(SUMIFS(前提!$D$12:$D$51,前提!$A$12:$A$51,TRIM($A23),前提!$C$12:$C$51,"共通")+SUMIFS(前提!$D$12:$D$51,前提!$A$12:$A$51,TRIM($A23),前提!$C$12:$C$51,$B$3))</f>
        <v>0</v>
      </c>
      <c r="D23" s="24">
        <f>-$B$8*(SUMIFS(前提!$E$12:$E$51,前提!$A$12:$A$51,TRIM($A23),前提!$C$12:$C$51,"共通")+SUMIFS(前提!$E$12:$E$51,前提!$A$12:$A$51,TRIM($A23),前提!$C$12:$C$51,$B$3))</f>
        <v>-12.5</v>
      </c>
      <c r="E23" s="24">
        <f>-$B$8*(SUMIFS(前提!$F$12:$F$51,前提!$A$12:$A$51,TRIM($A23),前提!$C$12:$C$51,"共通")+SUMIFS(前提!$F$12:$F$51,前提!$A$12:$A$51,TRIM($A23),前提!$C$12:$C$51,$B$3))</f>
        <v>0</v>
      </c>
      <c r="F23" s="24">
        <f>-$B$8*(SUMIFS(前提!$G$12:$G$51,前提!$A$12:$A$51,TRIM($A23),前提!$C$12:$C$51,"共通")+SUMIFS(前提!$G$12:$G$51,前提!$A$12:$A$51,TRIM($A23),前提!$C$12:$C$51,$B$3))</f>
        <v>-12.0</v>
      </c>
      <c r="G23" s="24">
        <f>-$B$8*(SUMIFS(前提!$H$12:$H$51,前提!$A$12:$A$51,TRIM($A23),前提!$C$12:$C$51,"共通")+SUMIFS(前提!$H$12:$H$51,前提!$A$12:$A$51,TRIM($A23),前提!$C$12:$C$51,$B$3))</f>
        <v>0</v>
      </c>
      <c r="H23" s="24">
        <f>-$B$8*(SUMIFS(前提!$I$12:$I$51,前提!$A$12:$A$51,TRIM($A23),前提!$C$12:$C$51,"共通")+SUMIFS(前提!$I$12:$I$51,前提!$A$12:$A$51,TRIM($A23),前提!$C$12:$C$51,$B$3))</f>
        <v>0</v>
      </c>
      <c r="I23" s="24">
        <f>-$B$8*(SUMIFS(前提!$J$12:$J$51,前提!$A$12:$A$51,TRIM($A23),前提!$C$12:$C$51,"共通")+SUMIFS(前提!$J$12:$J$51,前提!$A$12:$A$51,TRIM($A23),前提!$C$12:$C$51,$B$3))</f>
        <v>-12.0</v>
      </c>
      <c r="J23" s="24">
        <f>-$B$8*(SUMIFS(前提!$K$12:$K$51,前提!$A$12:$A$51,TRIM($A23),前提!$C$12:$C$51,"共通")+SUMIFS(前提!$K$12:$K$51,前提!$A$12:$A$51,TRIM($A23),前提!$C$12:$C$51,$B$3))</f>
        <v>0</v>
      </c>
      <c r="K23" s="24">
        <f>-$B$8*(SUMIFS(前提!$L$12:$L$51,前提!$A$12:$A$51,TRIM($A23),前提!$C$12:$C$51,"共通")+SUMIFS(前提!$L$12:$L$51,前提!$A$12:$A$51,TRIM($A23),前提!$C$12:$C$51,$B$3))</f>
        <v>0</v>
      </c>
      <c r="L23" s="24">
        <f>-$B$8*(SUMIFS(前提!$M$12:$M$51,前提!$A$12:$A$51,TRIM($A23),前提!$C$12:$C$51,"共通")+SUMIFS(前提!$M$12:$M$51,前提!$A$12:$A$51,TRIM($A23),前提!$C$12:$C$51,$B$3))</f>
        <v>0</v>
      </c>
      <c r="M23" s="24">
        <f>-$B$8*(SUMIFS(前提!$N$12:$N$51,前提!$A$12:$A$51,TRIM($A23),前提!$C$12:$C$51,"共通")+SUMIFS(前提!$N$12:$N$51,前提!$A$12:$A$51,TRIM($A23),前提!$C$12:$C$51,$B$3))</f>
        <v>0</v>
      </c>
      <c r="N23" s="24">
        <f>-$B$8*(SUMIFS(前提!$O$12:$O$51,前提!$A$12:$A$51,TRIM($A23),前提!$C$12:$C$51,"共通")+SUMIFS(前提!$O$12:$O$51,前提!$A$12:$A$51,TRIM($A23),前提!$C$12:$C$51,$B$3))</f>
        <v>0</v>
      </c>
      <c r="O23" s="24">
        <f>-$B$8*(SUMIFS(前提!$P$12:$P$51,前提!$A$12:$A$51,TRIM($A23),前提!$C$12:$C$51,"共通")+SUMIFS(前提!$P$12:$P$51,前提!$A$12:$A$51,TRIM($A23),前提!$C$12:$C$51,$B$3))</f>
        <v>0</v>
      </c>
      <c r="P23" s="24">
        <f>-$B$8*(SUMIFS(前提!$Q$12:$Q$51,前提!$A$12:$A$51,TRIM($A23),前提!$C$12:$C$51,"共通")+SUMIFS(前提!$Q$12:$Q$51,前提!$A$12:$A$51,TRIM($A23),前提!$C$12:$C$51,$B$3))</f>
        <v>0</v>
      </c>
      <c r="Q23" s="24">
        <f>-$B$8*(SUMIFS(前提!$R$12:$R$51,前提!$A$12:$A$51,TRIM($A23),前提!$C$12:$C$51,"共通")+SUMIFS(前提!$R$12:$R$51,前提!$A$12:$A$51,TRIM($A23),前提!$C$12:$C$51,$B$3))</f>
        <v>0</v>
      </c>
      <c r="R23" s="24">
        <f>-$B$8*(SUMIFS(前提!$S$12:$S$51,前提!$A$12:$A$51,TRIM($A23),前提!$C$12:$C$51,"共通")+SUMIFS(前提!$S$12:$S$51,前提!$A$12:$A$51,TRIM($A23),前提!$C$12:$C$51,$B$3))</f>
        <v>0</v>
      </c>
      <c r="S23" s="24">
        <f>SUM(C23:R23)</f>
        <v>-36.5</v>
      </c>
    </row>
    <row r="24">
      <c r="A24" s="6" t="inlineStr">
        <is>
          <t xml:space="preserve">　クレッシェンド</t>
        </is>
      </c>
      <c r="C24" s="24">
        <f>-$B$9*(SUMIFS(前提!$D$12:$D$51,前提!$A$12:$A$51,TRIM($A24),前提!$C$12:$C$51,"共通")+SUMIFS(前提!$D$12:$D$51,前提!$A$12:$A$51,TRIM($A24),前提!$C$12:$C$51,$B$3))</f>
        <v>0</v>
      </c>
      <c r="D24" s="24">
        <f>-$B$9*(SUMIFS(前提!$E$12:$E$51,前提!$A$12:$A$51,TRIM($A24),前提!$C$12:$C$51,"共通")+SUMIFS(前提!$E$12:$E$51,前提!$A$12:$A$51,TRIM($A24),前提!$C$12:$C$51,$B$3))</f>
        <v>-3.1</v>
      </c>
      <c r="E24" s="24">
        <f>-$B$9*(SUMIFS(前提!$F$12:$F$51,前提!$A$12:$A$51,TRIM($A24),前提!$C$12:$C$51,"共通")+SUMIFS(前提!$F$12:$F$51,前提!$A$12:$A$51,TRIM($A24),前提!$C$12:$C$51,$B$3))</f>
        <v>-32.0</v>
      </c>
      <c r="F24" s="24">
        <f>-$B$9*(SUMIFS(前提!$G$12:$G$51,前提!$A$12:$A$51,TRIM($A24),前提!$C$12:$C$51,"共通")+SUMIFS(前提!$G$12:$G$51,前提!$A$12:$A$51,TRIM($A24),前提!$C$12:$C$51,$B$3))</f>
        <v>0</v>
      </c>
      <c r="G24" s="24">
        <f>-$B$9*(SUMIFS(前提!$H$12:$H$51,前提!$A$12:$A$51,TRIM($A24),前提!$C$12:$C$51,"共通")+SUMIFS(前提!$H$12:$H$51,前提!$A$12:$A$51,TRIM($A24),前提!$C$12:$C$51,$B$3))</f>
        <v>0</v>
      </c>
      <c r="H24" s="24">
        <f>-$B$9*(SUMIFS(前提!$I$12:$I$51,前提!$A$12:$A$51,TRIM($A24),前提!$C$12:$C$51,"共通")+SUMIFS(前提!$I$12:$I$51,前提!$A$12:$A$51,TRIM($A24),前提!$C$12:$C$51,$B$3))</f>
        <v>0</v>
      </c>
      <c r="I24" s="24">
        <f>-$B$9*(SUMIFS(前提!$J$12:$J$51,前提!$A$12:$A$51,TRIM($A24),前提!$C$12:$C$51,"共通")+SUMIFS(前提!$J$12:$J$51,前提!$A$12:$A$51,TRIM($A24),前提!$C$12:$C$51,$B$3))</f>
        <v>0</v>
      </c>
      <c r="J24" s="24">
        <f>-$B$9*(SUMIFS(前提!$K$12:$K$51,前提!$A$12:$A$51,TRIM($A24),前提!$C$12:$C$51,"共通")+SUMIFS(前提!$K$12:$K$51,前提!$A$12:$A$51,TRIM($A24),前提!$C$12:$C$51,$B$3))</f>
        <v>0</v>
      </c>
      <c r="K24" s="24">
        <f>-$B$9*(SUMIFS(前提!$L$12:$L$51,前提!$A$12:$A$51,TRIM($A24),前提!$C$12:$C$51,"共通")+SUMIFS(前提!$L$12:$L$51,前提!$A$12:$A$51,TRIM($A24),前提!$C$12:$C$51,$B$3))</f>
        <v>0</v>
      </c>
      <c r="L24" s="24">
        <f>-$B$9*(SUMIFS(前提!$M$12:$M$51,前提!$A$12:$A$51,TRIM($A24),前提!$C$12:$C$51,"共通")+SUMIFS(前提!$M$12:$M$51,前提!$A$12:$A$51,TRIM($A24),前提!$C$12:$C$51,$B$3))</f>
        <v>0</v>
      </c>
      <c r="M24" s="24">
        <f>-$B$9*(SUMIFS(前提!$N$12:$N$51,前提!$A$12:$A$51,TRIM($A24),前提!$C$12:$C$51,"共通")+SUMIFS(前提!$N$12:$N$51,前提!$A$12:$A$51,TRIM($A24),前提!$C$12:$C$51,$B$3))</f>
        <v>0</v>
      </c>
      <c r="N24" s="24">
        <f>-$B$9*(SUMIFS(前提!$O$12:$O$51,前提!$A$12:$A$51,TRIM($A24),前提!$C$12:$C$51,"共通")+SUMIFS(前提!$O$12:$O$51,前提!$A$12:$A$51,TRIM($A24),前提!$C$12:$C$51,$B$3))</f>
        <v>0</v>
      </c>
      <c r="O24" s="24">
        <f>-$B$9*(SUMIFS(前提!$P$12:$P$51,前提!$A$12:$A$51,TRIM($A24),前提!$C$12:$C$51,"共通")+SUMIFS(前提!$P$12:$P$51,前提!$A$12:$A$51,TRIM($A24),前提!$C$12:$C$51,$B$3))</f>
        <v>0</v>
      </c>
      <c r="P24" s="24">
        <f>-$B$9*(SUMIFS(前提!$Q$12:$Q$51,前提!$A$12:$A$51,TRIM($A24),前提!$C$12:$C$51,"共通")+SUMIFS(前提!$Q$12:$Q$51,前提!$A$12:$A$51,TRIM($A24),前提!$C$12:$C$51,$B$3))</f>
        <v>0</v>
      </c>
      <c r="Q24" s="24">
        <f>-$B$9*(SUMIFS(前提!$R$12:$R$51,前提!$A$12:$A$51,TRIM($A24),前提!$C$12:$C$51,"共通")+SUMIFS(前提!$R$12:$R$51,前提!$A$12:$A$51,TRIM($A24),前提!$C$12:$C$51,$B$3))</f>
        <v>0</v>
      </c>
      <c r="R24" s="24">
        <f>-$B$9*(SUMIFS(前提!$S$12:$S$51,前提!$A$12:$A$51,TRIM($A24),前提!$C$12:$C$51,"共通")+SUMIFS(前提!$S$12:$S$51,前提!$A$12:$A$51,TRIM($A24),前提!$C$12:$C$51,$B$3))</f>
        <v>0</v>
      </c>
      <c r="S24" s="24">
        <f>SUM(C24:R24)</f>
        <v>-35.1</v>
      </c>
    </row>
    <row r="25">
      <c r="A25" s="6" t="inlineStr">
        <is>
          <t xml:space="preserve">　ワイズケア</t>
        </is>
      </c>
      <c r="C25" s="24">
        <f>-$B$10*(SUMIFS(前提!$D$12:$D$51,前提!$A$12:$A$51,TRIM($A25),前提!$C$12:$C$51,"共通")+SUMIFS(前提!$D$12:$D$51,前提!$A$12:$A$51,TRIM($A25),前提!$C$12:$C$51,$B$3))</f>
        <v>0</v>
      </c>
      <c r="D25" s="24">
        <f>-$B$10*(SUMIFS(前提!$E$12:$E$51,前提!$A$12:$A$51,TRIM($A25),前提!$C$12:$C$51,"共通")+SUMIFS(前提!$E$12:$E$51,前提!$A$12:$A$51,TRIM($A25),前提!$C$12:$C$51,$B$3))</f>
        <v>-8.7</v>
      </c>
      <c r="E25" s="24">
        <f>-$B$10*(SUMIFS(前提!$F$12:$F$51,前提!$A$12:$A$51,TRIM($A25),前提!$C$12:$C$51,"共通")+SUMIFS(前提!$F$12:$F$51,前提!$A$12:$A$51,TRIM($A25),前提!$C$12:$C$51,$B$3))</f>
        <v>-127.3</v>
      </c>
      <c r="F25" s="24">
        <f>-$B$10*(SUMIFS(前提!$G$12:$G$51,前提!$A$12:$A$51,TRIM($A25),前提!$C$12:$C$51,"共通")+SUMIFS(前提!$G$12:$G$51,前提!$A$12:$A$51,TRIM($A25),前提!$C$12:$C$51,$B$3))</f>
        <v>0</v>
      </c>
      <c r="G25" s="24">
        <f>-$B$10*(SUMIFS(前提!$H$12:$H$51,前提!$A$12:$A$51,TRIM($A25),前提!$C$12:$C$51,"共通")+SUMIFS(前提!$H$12:$H$51,前提!$A$12:$A$51,TRIM($A25),前提!$C$12:$C$51,$B$3))</f>
        <v>0</v>
      </c>
      <c r="H25" s="24">
        <f>-$B$10*(SUMIFS(前提!$I$12:$I$51,前提!$A$12:$A$51,TRIM($A25),前提!$C$12:$C$51,"共通")+SUMIFS(前提!$I$12:$I$51,前提!$A$12:$A$51,TRIM($A25),前提!$C$12:$C$51,$B$3))</f>
        <v>0</v>
      </c>
      <c r="I25" s="24">
        <f>-$B$10*(SUMIFS(前提!$J$12:$J$51,前提!$A$12:$A$51,TRIM($A25),前提!$C$12:$C$51,"共通")+SUMIFS(前提!$J$12:$J$51,前提!$A$12:$A$51,TRIM($A25),前提!$C$12:$C$51,$B$3))</f>
        <v>0</v>
      </c>
      <c r="J25" s="24">
        <f>-$B$10*(SUMIFS(前提!$K$12:$K$51,前提!$A$12:$A$51,TRIM($A25),前提!$C$12:$C$51,"共通")+SUMIFS(前提!$K$12:$K$51,前提!$A$12:$A$51,TRIM($A25),前提!$C$12:$C$51,$B$3))</f>
        <v>0</v>
      </c>
      <c r="K25" s="24">
        <f>-$B$10*(SUMIFS(前提!$L$12:$L$51,前提!$A$12:$A$51,TRIM($A25),前提!$C$12:$C$51,"共通")+SUMIFS(前提!$L$12:$L$51,前提!$A$12:$A$51,TRIM($A25),前提!$C$12:$C$51,$B$3))</f>
        <v>0</v>
      </c>
      <c r="L25" s="24">
        <f>-$B$10*(SUMIFS(前提!$M$12:$M$51,前提!$A$12:$A$51,TRIM($A25),前提!$C$12:$C$51,"共通")+SUMIFS(前提!$M$12:$M$51,前提!$A$12:$A$51,TRIM($A25),前提!$C$12:$C$51,$B$3))</f>
        <v>0</v>
      </c>
      <c r="M25" s="24">
        <f>-$B$10*(SUMIFS(前提!$N$12:$N$51,前提!$A$12:$A$51,TRIM($A25),前提!$C$12:$C$51,"共通")+SUMIFS(前提!$N$12:$N$51,前提!$A$12:$A$51,TRIM($A25),前提!$C$12:$C$51,$B$3))</f>
        <v>0</v>
      </c>
      <c r="N25" s="24">
        <f>-$B$10*(SUMIFS(前提!$O$12:$O$51,前提!$A$12:$A$51,TRIM($A25),前提!$C$12:$C$51,"共通")+SUMIFS(前提!$O$12:$O$51,前提!$A$12:$A$51,TRIM($A25),前提!$C$12:$C$51,$B$3))</f>
        <v>0</v>
      </c>
      <c r="O25" s="24">
        <f>-$B$10*(SUMIFS(前提!$P$12:$P$51,前提!$A$12:$A$51,TRIM($A25),前提!$C$12:$C$51,"共通")+SUMIFS(前提!$P$12:$P$51,前提!$A$12:$A$51,TRIM($A25),前提!$C$12:$C$51,$B$3))</f>
        <v>0</v>
      </c>
      <c r="P25" s="24">
        <f>-$B$10*(SUMIFS(前提!$Q$12:$Q$51,前提!$A$12:$A$51,TRIM($A25),前提!$C$12:$C$51,"共通")+SUMIFS(前提!$Q$12:$Q$51,前提!$A$12:$A$51,TRIM($A25),前提!$C$12:$C$51,$B$3))</f>
        <v>0</v>
      </c>
      <c r="Q25" s="24">
        <f>-$B$10*(SUMIFS(前提!$R$12:$R$51,前提!$A$12:$A$51,TRIM($A25),前提!$C$12:$C$51,"共通")+SUMIFS(前提!$R$12:$R$51,前提!$A$12:$A$51,TRIM($A25),前提!$C$12:$C$51,$B$3))</f>
        <v>0</v>
      </c>
      <c r="R25" s="24">
        <f>-$B$10*(SUMIFS(前提!$S$12:$S$51,前提!$A$12:$A$51,TRIM($A25),前提!$C$12:$C$51,"共通")+SUMIFS(前提!$S$12:$S$51,前提!$A$12:$A$51,TRIM($A25),前提!$C$12:$C$51,$B$3))</f>
        <v>0</v>
      </c>
      <c r="S25" s="24">
        <f>SUM(C25:R25)</f>
        <v>-136.0</v>
      </c>
    </row>
    <row r="26">
      <c r="A26" s="6" t="inlineStr">
        <is>
          <t xml:space="preserve">　エーステイスト</t>
        </is>
      </c>
      <c r="C26" s="24">
        <f>-$B$11*(SUMIFS(前提!$D$12:$D$51,前提!$A$12:$A$51,TRIM($A26),前提!$C$12:$C$51,"共通")+SUMIFS(前提!$D$12:$D$51,前提!$A$12:$A$51,TRIM($A26),前提!$C$12:$C$51,$B$3))</f>
        <v>0</v>
      </c>
      <c r="D26" s="24">
        <f>-$B$11*(SUMIFS(前提!$E$12:$E$51,前提!$A$12:$A$51,TRIM($A26),前提!$C$12:$C$51,"共通")+SUMIFS(前提!$E$12:$E$51,前提!$A$12:$A$51,TRIM($A26),前提!$C$12:$C$51,$B$3))</f>
        <v>-2.75</v>
      </c>
      <c r="E26" s="24">
        <f>-$B$11*(SUMIFS(前提!$F$12:$F$51,前提!$A$12:$A$51,TRIM($A26),前提!$C$12:$C$51,"共通")+SUMIFS(前提!$F$12:$F$51,前提!$A$12:$A$51,TRIM($A26),前提!$C$12:$C$51,$B$3))</f>
        <v>-2.0</v>
      </c>
      <c r="F26" s="24">
        <f>-$B$11*(SUMIFS(前提!$G$12:$G$51,前提!$A$12:$A$51,TRIM($A26),前提!$C$12:$C$51,"共通")+SUMIFS(前提!$G$12:$G$51,前提!$A$12:$A$51,TRIM($A26),前提!$C$12:$C$51,$B$3))</f>
        <v>-69.75</v>
      </c>
      <c r="G26" s="24">
        <f>-$B$11*(SUMIFS(前提!$H$12:$H$51,前提!$A$12:$A$51,TRIM($A26),前提!$C$12:$C$51,"共通")+SUMIFS(前提!$H$12:$H$51,前提!$A$12:$A$51,TRIM($A26),前提!$C$12:$C$51,$B$3))</f>
        <v>0</v>
      </c>
      <c r="H26" s="24">
        <f>-$B$11*(SUMIFS(前提!$I$12:$I$51,前提!$A$12:$A$51,TRIM($A26),前提!$C$12:$C$51,"共通")+SUMIFS(前提!$I$12:$I$51,前提!$A$12:$A$51,TRIM($A26),前提!$C$12:$C$51,$B$3))</f>
        <v>0</v>
      </c>
      <c r="I26" s="24">
        <f>-$B$11*(SUMIFS(前提!$J$12:$J$51,前提!$A$12:$A$51,TRIM($A26),前提!$C$12:$C$51,"共通")+SUMIFS(前提!$J$12:$J$51,前提!$A$12:$A$51,TRIM($A26),前提!$C$12:$C$51,$B$3))</f>
        <v>0</v>
      </c>
      <c r="J26" s="24">
        <f>-$B$11*(SUMIFS(前提!$K$12:$K$51,前提!$A$12:$A$51,TRIM($A26),前提!$C$12:$C$51,"共通")+SUMIFS(前提!$K$12:$K$51,前提!$A$12:$A$51,TRIM($A26),前提!$C$12:$C$51,$B$3))</f>
        <v>0</v>
      </c>
      <c r="K26" s="24">
        <f>-$B$11*(SUMIFS(前提!$L$12:$L$51,前提!$A$12:$A$51,TRIM($A26),前提!$C$12:$C$51,"共通")+SUMIFS(前提!$L$12:$L$51,前提!$A$12:$A$51,TRIM($A26),前提!$C$12:$C$51,$B$3))</f>
        <v>0</v>
      </c>
      <c r="L26" s="24">
        <f>-$B$11*(SUMIFS(前提!$M$12:$M$51,前提!$A$12:$A$51,TRIM($A26),前提!$C$12:$C$51,"共通")+SUMIFS(前提!$M$12:$M$51,前提!$A$12:$A$51,TRIM($A26),前提!$C$12:$C$51,$B$3))</f>
        <v>0</v>
      </c>
      <c r="M26" s="24">
        <f>-$B$11*(SUMIFS(前提!$N$12:$N$51,前提!$A$12:$A$51,TRIM($A26),前提!$C$12:$C$51,"共通")+SUMIFS(前提!$N$12:$N$51,前提!$A$12:$A$51,TRIM($A26),前提!$C$12:$C$51,$B$3))</f>
        <v>0</v>
      </c>
      <c r="N26" s="24">
        <f>-$B$11*(SUMIFS(前提!$O$12:$O$51,前提!$A$12:$A$51,TRIM($A26),前提!$C$12:$C$51,"共通")+SUMIFS(前提!$O$12:$O$51,前提!$A$12:$A$51,TRIM($A26),前提!$C$12:$C$51,$B$3))</f>
        <v>0</v>
      </c>
      <c r="O26" s="24">
        <f>-$B$11*(SUMIFS(前提!$P$12:$P$51,前提!$A$12:$A$51,TRIM($A26),前提!$C$12:$C$51,"共通")+SUMIFS(前提!$P$12:$P$51,前提!$A$12:$A$51,TRIM($A26),前提!$C$12:$C$51,$B$3))</f>
        <v>0</v>
      </c>
      <c r="P26" s="24">
        <f>-$B$11*(SUMIFS(前提!$Q$12:$Q$51,前提!$A$12:$A$51,TRIM($A26),前提!$C$12:$C$51,"共通")+SUMIFS(前提!$Q$12:$Q$51,前提!$A$12:$A$51,TRIM($A26),前提!$C$12:$C$51,$B$3))</f>
        <v>0</v>
      </c>
      <c r="Q26" s="24">
        <f>-$B$11*(SUMIFS(前提!$R$12:$R$51,前提!$A$12:$A$51,TRIM($A26),前提!$C$12:$C$51,"共通")+SUMIFS(前提!$R$12:$R$51,前提!$A$12:$A$51,TRIM($A26),前提!$C$12:$C$51,$B$3))</f>
        <v>0</v>
      </c>
      <c r="R26" s="24">
        <f>-$B$11*(SUMIFS(前提!$S$12:$S$51,前提!$A$12:$A$51,TRIM($A26),前提!$C$12:$C$51,"共通")+SUMIFS(前提!$S$12:$S$51,前提!$A$12:$A$51,TRIM($A26),前提!$C$12:$C$51,$B$3))</f>
        <v>0</v>
      </c>
      <c r="S26" s="24">
        <f>SUM(C26:R26)</f>
        <v>-74.5</v>
      </c>
    </row>
    <row r="27">
      <c r="A27" s="6" t="inlineStr">
        <is>
          <t xml:space="preserve">　日本経営センター</t>
        </is>
      </c>
      <c r="C27" s="24">
        <f>-$B$12*(SUMIFS(前提!$D$12:$D$51,前提!$A$12:$A$51,TRIM($A27),前提!$C$12:$C$51,"共通")+SUMIFS(前提!$D$12:$D$51,前提!$A$12:$A$51,TRIM($A27),前提!$C$12:$C$51,$B$3))</f>
        <v>0</v>
      </c>
      <c r="D27" s="24">
        <f>-$B$12*(SUMIFS(前提!$E$12:$E$51,前提!$A$12:$A$51,TRIM($A27),前提!$C$12:$C$51,"共通")+SUMIFS(前提!$E$12:$E$51,前提!$A$12:$A$51,TRIM($A27),前提!$C$12:$C$51,$B$3))</f>
        <v>0</v>
      </c>
      <c r="E27" s="24">
        <f>-$B$12*(SUMIFS(前提!$F$12:$F$51,前提!$A$12:$A$51,TRIM($A27),前提!$C$12:$C$51,"共通")+SUMIFS(前提!$F$12:$F$51,前提!$A$12:$A$51,TRIM($A27),前提!$C$12:$C$51,$B$3))</f>
        <v>0</v>
      </c>
      <c r="F27" s="24">
        <f>-$B$12*(SUMIFS(前提!$G$12:$G$51,前提!$A$12:$A$51,TRIM($A27),前提!$C$12:$C$51,"共通")+SUMIFS(前提!$G$12:$G$51,前提!$A$12:$A$51,TRIM($A27),前提!$C$12:$C$51,$B$3))</f>
        <v>-4.75</v>
      </c>
      <c r="G27" s="24">
        <f>-$B$12*(SUMIFS(前提!$H$12:$H$51,前提!$A$12:$A$51,TRIM($A27),前提!$C$12:$C$51,"共通")+SUMIFS(前提!$H$12:$H$51,前提!$A$12:$A$51,TRIM($A27),前提!$C$12:$C$51,$B$3))</f>
        <v>-87.75</v>
      </c>
      <c r="H27" s="24">
        <f>-$B$12*(SUMIFS(前提!$I$12:$I$51,前提!$A$12:$A$51,TRIM($A27),前提!$C$12:$C$51,"共通")+SUMIFS(前提!$I$12:$I$51,前提!$A$12:$A$51,TRIM($A27),前提!$C$12:$C$51,$B$3))</f>
        <v>0</v>
      </c>
      <c r="I27" s="24">
        <f>-$B$12*(SUMIFS(前提!$J$12:$J$51,前提!$A$12:$A$51,TRIM($A27),前提!$C$12:$C$51,"共通")+SUMIFS(前提!$J$12:$J$51,前提!$A$12:$A$51,TRIM($A27),前提!$C$12:$C$51,$B$3))</f>
        <v>0</v>
      </c>
      <c r="J27" s="24">
        <f>-$B$12*(SUMIFS(前提!$K$12:$K$51,前提!$A$12:$A$51,TRIM($A27),前提!$C$12:$C$51,"共通")+SUMIFS(前提!$K$12:$K$51,前提!$A$12:$A$51,TRIM($A27),前提!$C$12:$C$51,$B$3))</f>
        <v>0</v>
      </c>
      <c r="K27" s="24">
        <f>-$B$12*(SUMIFS(前提!$L$12:$L$51,前提!$A$12:$A$51,TRIM($A27),前提!$C$12:$C$51,"共通")+SUMIFS(前提!$L$12:$L$51,前提!$A$12:$A$51,TRIM($A27),前提!$C$12:$C$51,$B$3))</f>
        <v>0</v>
      </c>
      <c r="L27" s="24">
        <f>-$B$12*(SUMIFS(前提!$M$12:$M$51,前提!$A$12:$A$51,TRIM($A27),前提!$C$12:$C$51,"共通")+SUMIFS(前提!$M$12:$M$51,前提!$A$12:$A$51,TRIM($A27),前提!$C$12:$C$51,$B$3))</f>
        <v>0</v>
      </c>
      <c r="M27" s="24">
        <f>-$B$12*(SUMIFS(前提!$N$12:$N$51,前提!$A$12:$A$51,TRIM($A27),前提!$C$12:$C$51,"共通")+SUMIFS(前提!$N$12:$N$51,前提!$A$12:$A$51,TRIM($A27),前提!$C$12:$C$51,$B$3))</f>
        <v>0</v>
      </c>
      <c r="N27" s="24">
        <f>-$B$12*(SUMIFS(前提!$O$12:$O$51,前提!$A$12:$A$51,TRIM($A27),前提!$C$12:$C$51,"共通")+SUMIFS(前提!$O$12:$O$51,前提!$A$12:$A$51,TRIM($A27),前提!$C$12:$C$51,$B$3))</f>
        <v>0</v>
      </c>
      <c r="O27" s="24">
        <f>-$B$12*(SUMIFS(前提!$P$12:$P$51,前提!$A$12:$A$51,TRIM($A27),前提!$C$12:$C$51,"共通")+SUMIFS(前提!$P$12:$P$51,前提!$A$12:$A$51,TRIM($A27),前提!$C$12:$C$51,$B$3))</f>
        <v>0</v>
      </c>
      <c r="P27" s="24">
        <f>-$B$12*(SUMIFS(前提!$Q$12:$Q$51,前提!$A$12:$A$51,TRIM($A27),前提!$C$12:$C$51,"共通")+SUMIFS(前提!$Q$12:$Q$51,前提!$A$12:$A$51,TRIM($A27),前提!$C$12:$C$51,$B$3))</f>
        <v>0</v>
      </c>
      <c r="Q27" s="24">
        <f>-$B$12*(SUMIFS(前提!$R$12:$R$51,前提!$A$12:$A$51,TRIM($A27),前提!$C$12:$C$51,"共通")+SUMIFS(前提!$R$12:$R$51,前提!$A$12:$A$51,TRIM($A27),前提!$C$12:$C$51,$B$3))</f>
        <v>0</v>
      </c>
      <c r="R27" s="24">
        <f>-$B$12*(SUMIFS(前提!$S$12:$S$51,前提!$A$12:$A$51,TRIM($A27),前提!$C$12:$C$51,"共通")+SUMIFS(前提!$S$12:$S$51,前提!$A$12:$A$51,TRIM($A27),前提!$C$12:$C$51,$B$3))</f>
        <v>0</v>
      </c>
      <c r="S27" s="24">
        <f>SUM(C27:R27)</f>
        <v>-92.5</v>
      </c>
    </row>
    <row r="28">
      <c r="A28" s="6" t="inlineStr">
        <is>
          <t xml:space="preserve">　セレサ</t>
        </is>
      </c>
      <c r="C28" s="24">
        <f>-$B$13*(SUMIFS(前提!$D$12:$D$51,前提!$A$12:$A$51,TRIM($A28),前提!$C$12:$C$51,"共通")+SUMIFS(前提!$D$12:$D$51,前提!$A$12:$A$51,TRIM($A28),前提!$C$12:$C$51,$B$3))</f>
        <v>0</v>
      </c>
      <c r="D28" s="24">
        <f>-$B$13*(SUMIFS(前提!$E$12:$E$51,前提!$A$12:$A$51,TRIM($A28),前提!$C$12:$C$51,"共通")+SUMIFS(前提!$E$12:$E$51,前提!$A$12:$A$51,TRIM($A28),前提!$C$12:$C$51,$B$3))</f>
        <v>0</v>
      </c>
      <c r="E28" s="24">
        <f>-$B$13*(SUMIFS(前提!$F$12:$F$51,前提!$A$12:$A$51,TRIM($A28),前提!$C$12:$C$51,"共通")+SUMIFS(前提!$F$12:$F$51,前提!$A$12:$A$51,TRIM($A28),前提!$C$12:$C$51,$B$3))</f>
        <v>0</v>
      </c>
      <c r="F28" s="24">
        <f>-$B$13*(SUMIFS(前提!$G$12:$G$51,前提!$A$12:$A$51,TRIM($A28),前提!$C$12:$C$51,"共通")+SUMIFS(前提!$G$12:$G$51,前提!$A$12:$A$51,TRIM($A28),前提!$C$12:$C$51,$B$3))</f>
        <v>0</v>
      </c>
      <c r="G28" s="24">
        <f>-$B$13*(SUMIFS(前提!$H$12:$H$51,前提!$A$12:$A$51,TRIM($A28),前提!$C$12:$C$51,"共通")+SUMIFS(前提!$H$12:$H$51,前提!$A$12:$A$51,TRIM($A28),前提!$C$12:$C$51,$B$3))</f>
        <v>0</v>
      </c>
      <c r="H28" s="24">
        <f>-$B$13*(SUMIFS(前提!$I$12:$I$51,前提!$A$12:$A$51,TRIM($A28),前提!$C$12:$C$51,"共通")+SUMIFS(前提!$I$12:$I$51,前提!$A$12:$A$51,TRIM($A28),前提!$C$12:$C$51,$B$3))</f>
        <v>-2.1</v>
      </c>
      <c r="I28" s="24">
        <f>-$B$13*(SUMIFS(前提!$J$12:$J$51,前提!$A$12:$A$51,TRIM($A28),前提!$C$12:$C$51,"共通")+SUMIFS(前提!$J$12:$J$51,前提!$A$12:$A$51,TRIM($A28),前提!$C$12:$C$51,$B$3))</f>
        <v>-55.5</v>
      </c>
      <c r="J28" s="24">
        <f>-$B$13*(SUMIFS(前提!$K$12:$K$51,前提!$A$12:$A$51,TRIM($A28),前提!$C$12:$C$51,"共通")+SUMIFS(前提!$K$12:$K$51,前提!$A$12:$A$51,TRIM($A28),前提!$C$12:$C$51,$B$3))</f>
        <v>0</v>
      </c>
      <c r="K28" s="24">
        <f>-$B$13*(SUMIFS(前提!$L$12:$L$51,前提!$A$12:$A$51,TRIM($A28),前提!$C$12:$C$51,"共通")+SUMIFS(前提!$L$12:$L$51,前提!$A$12:$A$51,TRIM($A28),前提!$C$12:$C$51,$B$3))</f>
        <v>0</v>
      </c>
      <c r="L28" s="24">
        <f>-$B$13*(SUMIFS(前提!$M$12:$M$51,前提!$A$12:$A$51,TRIM($A28),前提!$C$12:$C$51,"共通")+SUMIFS(前提!$M$12:$M$51,前提!$A$12:$A$51,TRIM($A28),前提!$C$12:$C$51,$B$3))</f>
        <v>0</v>
      </c>
      <c r="M28" s="24">
        <f>-$B$13*(SUMIFS(前提!$N$12:$N$51,前提!$A$12:$A$51,TRIM($A28),前提!$C$12:$C$51,"共通")+SUMIFS(前提!$N$12:$N$51,前提!$A$12:$A$51,TRIM($A28),前提!$C$12:$C$51,$B$3))</f>
        <v>0</v>
      </c>
      <c r="N28" s="24">
        <f>-$B$13*(SUMIFS(前提!$O$12:$O$51,前提!$A$12:$A$51,TRIM($A28),前提!$C$12:$C$51,"共通")+SUMIFS(前提!$O$12:$O$51,前提!$A$12:$A$51,TRIM($A28),前提!$C$12:$C$51,$B$3))</f>
        <v>0</v>
      </c>
      <c r="O28" s="24">
        <f>-$B$13*(SUMIFS(前提!$P$12:$P$51,前提!$A$12:$A$51,TRIM($A28),前提!$C$12:$C$51,"共通")+SUMIFS(前提!$P$12:$P$51,前提!$A$12:$A$51,TRIM($A28),前提!$C$12:$C$51,$B$3))</f>
        <v>0</v>
      </c>
      <c r="P28" s="24">
        <f>-$B$13*(SUMIFS(前提!$Q$12:$Q$51,前提!$A$12:$A$51,TRIM($A28),前提!$C$12:$C$51,"共通")+SUMIFS(前提!$Q$12:$Q$51,前提!$A$12:$A$51,TRIM($A28),前提!$C$12:$C$51,$B$3))</f>
        <v>0</v>
      </c>
      <c r="Q28" s="24">
        <f>-$B$13*(SUMIFS(前提!$R$12:$R$51,前提!$A$12:$A$51,TRIM($A28),前提!$C$12:$C$51,"共通")+SUMIFS(前提!$R$12:$R$51,前提!$A$12:$A$51,TRIM($A28),前提!$C$12:$C$51,$B$3))</f>
        <v>0</v>
      </c>
      <c r="R28" s="24">
        <f>-$B$13*(SUMIFS(前提!$S$12:$S$51,前提!$A$12:$A$51,TRIM($A28),前提!$C$12:$C$51,"共通")+SUMIFS(前提!$S$12:$S$51,前提!$A$12:$A$51,TRIM($A28),前提!$C$12:$C$51,$B$3))</f>
        <v>0</v>
      </c>
      <c r="S28" s="24">
        <f>SUM(C28:R28)</f>
        <v>-57.6</v>
      </c>
    </row>
    <row r="29">
      <c r="A29" s="6" t="inlineStr">
        <is>
          <t xml:space="preserve">　シルバーメディカル</t>
        </is>
      </c>
      <c r="C29" s="24">
        <f>-$B$14*(SUMIFS(前提!$D$12:$D$51,前提!$A$12:$A$51,TRIM($A29),前提!$C$12:$C$51,"共通")+SUMIFS(前提!$D$12:$D$51,前提!$A$12:$A$51,TRIM($A29),前提!$C$12:$C$51,$B$3))</f>
        <v>0</v>
      </c>
      <c r="D29" s="24">
        <f>-$B$14*(SUMIFS(前提!$E$12:$E$51,前提!$A$12:$A$51,TRIM($A29),前提!$C$12:$C$51,"共通")+SUMIFS(前提!$E$12:$E$51,前提!$A$12:$A$51,TRIM($A29),前提!$C$12:$C$51,$B$3))</f>
        <v>-1.1</v>
      </c>
      <c r="E29" s="24">
        <f>-$B$14*(SUMIFS(前提!$F$12:$F$51,前提!$A$12:$A$51,TRIM($A29),前提!$C$12:$C$51,"共通")+SUMIFS(前提!$F$12:$F$51,前提!$A$12:$A$51,TRIM($A29),前提!$C$12:$C$51,$B$3))</f>
        <v>-5.0</v>
      </c>
      <c r="F29" s="24">
        <f>-$B$14*(SUMIFS(前提!$G$12:$G$51,前提!$A$12:$A$51,TRIM($A29),前提!$C$12:$C$51,"共通")+SUMIFS(前提!$G$12:$G$51,前提!$A$12:$A$51,TRIM($A29),前提!$C$12:$C$51,$B$3))</f>
        <v>-114.0</v>
      </c>
      <c r="G29" s="24">
        <f>-$B$14*(SUMIFS(前提!$H$12:$H$51,前提!$A$12:$A$51,TRIM($A29),前提!$C$12:$C$51,"共通")+SUMIFS(前提!$H$12:$H$51,前提!$A$12:$A$51,TRIM($A29),前提!$C$12:$C$51,$B$3))</f>
        <v>0</v>
      </c>
      <c r="H29" s="24">
        <f>-$B$14*(SUMIFS(前提!$I$12:$I$51,前提!$A$12:$A$51,TRIM($A29),前提!$C$12:$C$51,"共通")+SUMIFS(前提!$I$12:$I$51,前提!$A$12:$A$51,TRIM($A29),前提!$C$12:$C$51,$B$3))</f>
        <v>0</v>
      </c>
      <c r="I29" s="24">
        <f>-$B$14*(SUMIFS(前提!$J$12:$J$51,前提!$A$12:$A$51,TRIM($A29),前提!$C$12:$C$51,"共通")+SUMIFS(前提!$J$12:$J$51,前提!$A$12:$A$51,TRIM($A29),前提!$C$12:$C$51,$B$3))</f>
        <v>0</v>
      </c>
      <c r="J29" s="24">
        <f>-$B$14*(SUMIFS(前提!$K$12:$K$51,前提!$A$12:$A$51,TRIM($A29),前提!$C$12:$C$51,"共通")+SUMIFS(前提!$K$12:$K$51,前提!$A$12:$A$51,TRIM($A29),前提!$C$12:$C$51,$B$3))</f>
        <v>0</v>
      </c>
      <c r="K29" s="24">
        <f>-$B$14*(SUMIFS(前提!$L$12:$L$51,前提!$A$12:$A$51,TRIM($A29),前提!$C$12:$C$51,"共通")+SUMIFS(前提!$L$12:$L$51,前提!$A$12:$A$51,TRIM($A29),前提!$C$12:$C$51,$B$3))</f>
        <v>0</v>
      </c>
      <c r="L29" s="24">
        <f>-$B$14*(SUMIFS(前提!$M$12:$M$51,前提!$A$12:$A$51,TRIM($A29),前提!$C$12:$C$51,"共通")+SUMIFS(前提!$M$12:$M$51,前提!$A$12:$A$51,TRIM($A29),前提!$C$12:$C$51,$B$3))</f>
        <v>0</v>
      </c>
      <c r="M29" s="24">
        <f>-$B$14*(SUMIFS(前提!$N$12:$N$51,前提!$A$12:$A$51,TRIM($A29),前提!$C$12:$C$51,"共通")+SUMIFS(前提!$N$12:$N$51,前提!$A$12:$A$51,TRIM($A29),前提!$C$12:$C$51,$B$3))</f>
        <v>0</v>
      </c>
      <c r="N29" s="24">
        <f>-$B$14*(SUMIFS(前提!$O$12:$O$51,前提!$A$12:$A$51,TRIM($A29),前提!$C$12:$C$51,"共通")+SUMIFS(前提!$O$12:$O$51,前提!$A$12:$A$51,TRIM($A29),前提!$C$12:$C$51,$B$3))</f>
        <v>0</v>
      </c>
      <c r="O29" s="24">
        <f>-$B$14*(SUMIFS(前提!$P$12:$P$51,前提!$A$12:$A$51,TRIM($A29),前提!$C$12:$C$51,"共通")+SUMIFS(前提!$P$12:$P$51,前提!$A$12:$A$51,TRIM($A29),前提!$C$12:$C$51,$B$3))</f>
        <v>0</v>
      </c>
      <c r="P29" s="24">
        <f>-$B$14*(SUMIFS(前提!$Q$12:$Q$51,前提!$A$12:$A$51,TRIM($A29),前提!$C$12:$C$51,"共通")+SUMIFS(前提!$Q$12:$Q$51,前提!$A$12:$A$51,TRIM($A29),前提!$C$12:$C$51,$B$3))</f>
        <v>0</v>
      </c>
      <c r="Q29" s="24">
        <f>-$B$14*(SUMIFS(前提!$R$12:$R$51,前提!$A$12:$A$51,TRIM($A29),前提!$C$12:$C$51,"共通")+SUMIFS(前提!$R$12:$R$51,前提!$A$12:$A$51,TRIM($A29),前提!$C$12:$C$51,$B$3))</f>
        <v>0</v>
      </c>
      <c r="R29" s="24">
        <f>-$B$14*(SUMIFS(前提!$S$12:$S$51,前提!$A$12:$A$51,TRIM($A29),前提!$C$12:$C$51,"共通")+SUMIFS(前提!$S$12:$S$51,前提!$A$12:$A$51,TRIM($A29),前提!$C$12:$C$51,$B$3))</f>
        <v>0</v>
      </c>
      <c r="S29" s="24">
        <f>SUM(C29:R29)</f>
        <v>-120.1</v>
      </c>
    </row>
    <row r="30">
      <c r="A30" s="4" t="inlineStr">
        <is>
          <t>案件支出 合計</t>
        </is>
      </c>
      <c r="C30" s="21">
        <f>SUM(C21:C29)</f>
        <v>-30.0</v>
      </c>
      <c r="D30" s="21">
        <f>SUM(D21:D29)</f>
        <v>-29.65</v>
      </c>
      <c r="E30" s="21">
        <f>SUM(E21:E29)</f>
        <v>-196.8</v>
      </c>
      <c r="F30" s="21">
        <f>SUM(F21:F29)</f>
        <v>-200.5</v>
      </c>
      <c r="G30" s="21">
        <f>SUM(G21:G29)</f>
        <v>-87.75</v>
      </c>
      <c r="H30" s="21">
        <f>SUM(H21:H29)</f>
        <v>-2.1</v>
      </c>
      <c r="I30" s="21">
        <f>SUM(I21:I29)</f>
        <v>-67.5</v>
      </c>
      <c r="J30" s="21">
        <f>SUM(J21:J29)</f>
        <v>0</v>
      </c>
      <c r="K30" s="21">
        <f>SUM(K21:K29)</f>
        <v>0</v>
      </c>
      <c r="L30" s="21">
        <f>SUM(L21:L29)</f>
        <v>0</v>
      </c>
      <c r="M30" s="21">
        <f>SUM(M21:M29)</f>
        <v>0</v>
      </c>
      <c r="N30" s="21">
        <f>SUM(N21:N29)</f>
        <v>0</v>
      </c>
      <c r="O30" s="21">
        <f>SUM(O21:O29)</f>
        <v>0</v>
      </c>
      <c r="P30" s="21">
        <f>SUM(P21:P29)</f>
        <v>0</v>
      </c>
      <c r="Q30" s="21">
        <f>SUM(Q21:Q29)</f>
        <v>0</v>
      </c>
      <c r="R30" s="21">
        <f>SUM(R21:R29)</f>
        <v>0</v>
      </c>
      <c r="S30" s="21">
        <f>SUM(C30:R30)</f>
        <v>-614.3</v>
      </c>
    </row>
    <row r="31">
      <c r="A31" s="4" t="inlineStr">
        <is>
          <t>期末現預金</t>
        </is>
      </c>
      <c r="C31" s="22">
        <f>C18+C19+C30</f>
        <v>329.3</v>
      </c>
      <c r="D31" s="22">
        <f>D18+D19+D30</f>
        <v>292.65</v>
      </c>
      <c r="E31" s="22">
        <f>E18+E19+E30</f>
        <v>88.85</v>
      </c>
      <c r="F31" s="22">
        <f>F18+F19+F30</f>
        <v>-118.65</v>
      </c>
      <c r="G31" s="22">
        <f>G18+G19+G30</f>
        <v>-211.4</v>
      </c>
      <c r="H31" s="22">
        <f>H18+H19+H30</f>
        <v>-218.5</v>
      </c>
      <c r="I31" s="22">
        <f>I18+I19+I30</f>
        <v>-291.0</v>
      </c>
      <c r="J31" s="22">
        <f>J18+J19+J30</f>
        <v>-296.0</v>
      </c>
      <c r="K31" s="22">
        <f>K18+K19+K30</f>
        <v>-301.0</v>
      </c>
      <c r="L31" s="22">
        <f>L18+L19+L30</f>
        <v>-306.0</v>
      </c>
      <c r="M31" s="22">
        <f>M18+M19+M30</f>
        <v>-311.0</v>
      </c>
      <c r="N31" s="22">
        <f>N18+N19+N30</f>
        <v>-316.0</v>
      </c>
      <c r="O31" s="22">
        <f>O18+O19+O30</f>
        <v>-321.0</v>
      </c>
      <c r="P31" s="22">
        <f>P18+P19+P30</f>
        <v>-326.0</v>
      </c>
      <c r="Q31" s="22">
        <f>Q18+Q19+Q30</f>
        <v>-331.0</v>
      </c>
      <c r="R31" s="22">
        <f>R18+R19+R30</f>
        <v>-336.0</v>
      </c>
      <c r="S31" s="22" t="n"/>
    </row>
    <row r="32">
      <c r="A32" s="6" t="inlineStr">
        <is>
          <t>安全水準との差</t>
        </is>
      </c>
      <c r="C32" s="24">
        <f>C31-前提!$B$4</f>
        <v>229.3</v>
      </c>
      <c r="D32" s="24">
        <f>D31-前提!$B$4</f>
        <v>192.65</v>
      </c>
      <c r="E32" s="24">
        <f>E31-前提!$B$4</f>
        <v>-11.15</v>
      </c>
      <c r="F32" s="24">
        <f>F31-前提!$B$4</f>
        <v>-218.65</v>
      </c>
      <c r="G32" s="24">
        <f>G31-前提!$B$4</f>
        <v>-311.4</v>
      </c>
      <c r="H32" s="24">
        <f>H31-前提!$B$4</f>
        <v>-318.5</v>
      </c>
      <c r="I32" s="24">
        <f>I31-前提!$B$4</f>
        <v>-391.0</v>
      </c>
      <c r="J32" s="24">
        <f>J31-前提!$B$4</f>
        <v>-396.0</v>
      </c>
      <c r="K32" s="24">
        <f>K31-前提!$B$4</f>
        <v>-401.0</v>
      </c>
      <c r="L32" s="24">
        <f>L31-前提!$B$4</f>
        <v>-406.0</v>
      </c>
      <c r="M32" s="24">
        <f>M31-前提!$B$4</f>
        <v>-411.0</v>
      </c>
      <c r="N32" s="24">
        <f>N31-前提!$B$4</f>
        <v>-416.0</v>
      </c>
      <c r="O32" s="24">
        <f>O31-前提!$B$4</f>
        <v>-421.0</v>
      </c>
      <c r="P32" s="24">
        <f>P31-前提!$B$4</f>
        <v>-426.0</v>
      </c>
      <c r="Q32" s="24">
        <f>Q31-前提!$B$4</f>
        <v>-431.0</v>
      </c>
      <c r="R32" s="24">
        <f>R31-前提!$B$4</f>
        <v>-436.0</v>
      </c>
      <c r="S32" s="24" t="n"/>
    </row>
    <row r="33">
      <c r="A33" s="4" t="inlineStr">
        <is>
          <t>必要調達額（安全水準を維持するための不足額）</t>
        </is>
      </c>
      <c r="C33" s="25">
        <f>MAX(0,前提!$B$4-C31)</f>
        <v>0</v>
      </c>
      <c r="D33" s="25">
        <f>MAX(0,前提!$B$4-D31)</f>
        <v>0</v>
      </c>
      <c r="E33" s="25">
        <f>MAX(0,前提!$B$4-E31)</f>
        <v>11.15</v>
      </c>
      <c r="F33" s="25">
        <f>MAX(0,前提!$B$4-F31)</f>
        <v>218.65</v>
      </c>
      <c r="G33" s="25">
        <f>MAX(0,前提!$B$4-G31)</f>
        <v>311.4</v>
      </c>
      <c r="H33" s="25">
        <f>MAX(0,前提!$B$4-H31)</f>
        <v>318.5</v>
      </c>
      <c r="I33" s="25">
        <f>MAX(0,前提!$B$4-I31)</f>
        <v>391.0</v>
      </c>
      <c r="J33" s="25">
        <f>MAX(0,前提!$B$4-J31)</f>
        <v>396.0</v>
      </c>
      <c r="K33" s="25">
        <f>MAX(0,前提!$B$4-K31)</f>
        <v>401.0</v>
      </c>
      <c r="L33" s="25">
        <f>MAX(0,前提!$B$4-L31)</f>
        <v>406.0</v>
      </c>
      <c r="M33" s="25">
        <f>MAX(0,前提!$B$4-M31)</f>
        <v>411.0</v>
      </c>
      <c r="N33" s="25">
        <f>MAX(0,前提!$B$4-N31)</f>
        <v>416.0</v>
      </c>
      <c r="O33" s="25">
        <f>MAX(0,前提!$B$4-O31)</f>
        <v>421.0</v>
      </c>
      <c r="P33" s="25">
        <f>MAX(0,前提!$B$4-P31)</f>
        <v>426.0</v>
      </c>
      <c r="Q33" s="25">
        <f>MAX(0,前提!$B$4-Q31)</f>
        <v>431.0</v>
      </c>
      <c r="R33" s="25">
        <f>MAX(0,前提!$B$4-R31)</f>
        <v>436.0</v>
      </c>
      <c r="S33" s="25" t="n"/>
    </row>
    <row r="34">
      <c r="A34" s="6" t="inlineStr">
        <is>
          <t>累計案件支出</t>
        </is>
      </c>
      <c r="C34" s="24">
        <f>-SUM($C30:C30)</f>
        <v>30.0</v>
      </c>
      <c r="D34" s="24">
        <f>-SUM($C30:D30)</f>
        <v>59.65</v>
      </c>
      <c r="E34" s="24">
        <f>-SUM($C30:E30)</f>
        <v>256.45</v>
      </c>
      <c r="F34" s="24">
        <f>-SUM($C30:F30)</f>
        <v>456.95</v>
      </c>
      <c r="G34" s="24">
        <f>-SUM($C30:G30)</f>
        <v>544.7</v>
      </c>
      <c r="H34" s="24">
        <f>-SUM($C30:H30)</f>
        <v>546.8</v>
      </c>
      <c r="I34" s="24">
        <f>-SUM($C30:I30)</f>
        <v>614.3</v>
      </c>
      <c r="J34" s="24">
        <f>-SUM($C30:J30)</f>
        <v>614.3</v>
      </c>
      <c r="K34" s="24">
        <f>-SUM($C30:K30)</f>
        <v>614.3</v>
      </c>
      <c r="L34" s="24">
        <f>-SUM($C30:L30)</f>
        <v>614.3</v>
      </c>
      <c r="M34" s="24">
        <f>-SUM($C30:M30)</f>
        <v>614.3</v>
      </c>
      <c r="N34" s="24">
        <f>-SUM($C30:N30)</f>
        <v>614.3</v>
      </c>
      <c r="O34" s="24">
        <f>-SUM($C30:O30)</f>
        <v>614.3</v>
      </c>
      <c r="P34" s="24">
        <f>-SUM($C30:P30)</f>
        <v>614.3</v>
      </c>
      <c r="Q34" s="24">
        <f>-SUM($C30:Q30)</f>
        <v>614.3</v>
      </c>
      <c r="R34" s="24">
        <f>-SUM($C30:R30)</f>
        <v>614.3</v>
      </c>
      <c r="S34" s="24" t="n"/>
    </row>
    <row r="35">
      <c r="A35" s="6" t="inlineStr">
        <is>
          <t>安全水準割込み（1＝割込）</t>
        </is>
      </c>
      <c r="C35" s="24">
        <f>IF(C31&lt;前提!$B$4,1,0)</f>
        <v>0</v>
      </c>
      <c r="D35" s="24">
        <f>IF(D31&lt;前提!$B$4,1,0)</f>
        <v>0</v>
      </c>
      <c r="E35" s="24">
        <f>IF(E31&lt;前提!$B$4,1,0)</f>
        <v>1</v>
      </c>
      <c r="F35" s="24">
        <f>IF(F31&lt;前提!$B$4,1,0)</f>
        <v>1</v>
      </c>
      <c r="G35" s="24">
        <f>IF(G31&lt;前提!$B$4,1,0)</f>
        <v>1</v>
      </c>
      <c r="H35" s="24">
        <f>IF(H31&lt;前提!$B$4,1,0)</f>
        <v>1</v>
      </c>
      <c r="I35" s="24">
        <f>IF(I31&lt;前提!$B$4,1,0)</f>
        <v>1</v>
      </c>
      <c r="J35" s="24">
        <f>IF(J31&lt;前提!$B$4,1,0)</f>
        <v>1</v>
      </c>
      <c r="K35" s="24">
        <f>IF(K31&lt;前提!$B$4,1,0)</f>
        <v>1</v>
      </c>
      <c r="L35" s="24">
        <f>IF(L31&lt;前提!$B$4,1,0)</f>
        <v>1</v>
      </c>
      <c r="M35" s="24">
        <f>IF(M31&lt;前提!$B$4,1,0)</f>
        <v>1</v>
      </c>
      <c r="N35" s="24">
        <f>IF(N31&lt;前提!$B$4,1,0)</f>
        <v>1</v>
      </c>
      <c r="O35" s="24">
        <f>IF(O31&lt;前提!$B$4,1,0)</f>
        <v>1</v>
      </c>
      <c r="P35" s="24">
        <f>IF(P31&lt;前提!$B$4,1,0)</f>
        <v>1</v>
      </c>
      <c r="Q35" s="24">
        <f>IF(Q31&lt;前提!$B$4,1,0)</f>
        <v>1</v>
      </c>
      <c r="R35" s="24">
        <f>IF(R31&lt;前提!$B$4,1,0)</f>
        <v>1</v>
      </c>
      <c r="S35" s="24" t="n"/>
    </row>
    <row r="37">
      <c r="A37" s="4" t="inlineStr">
        <is>
          <t>Net Debt Capacity（連結・調達前）</t>
        </is>
      </c>
    </row>
    <row r="38">
      <c r="A38" s="6" t="inlineStr">
        <is>
          <t xml:space="preserve">　売掛金（既存＋クロージング後の案件）</t>
        </is>
      </c>
      <c r="C38" s="24">
        <f>前提!$B$60+SUMPRODUCT($B$6:$B$14,案件一覧!$N$4:$N$12,--(案件一覧!$M$4:$M$12&lt;=1))</f>
        <v>192.0</v>
      </c>
      <c r="D38" s="24">
        <f>前提!$B$60+SUMPRODUCT($B$6:$B$14,案件一覧!$N$4:$N$12,--(案件一覧!$M$4:$M$12&lt;=2))</f>
        <v>192.0</v>
      </c>
      <c r="E38" s="24">
        <f>前提!$B$60+SUMPRODUCT($B$6:$B$14,案件一覧!$N$4:$N$12,--(案件一覧!$M$4:$M$12&lt;=3))</f>
        <v>314.0</v>
      </c>
      <c r="F38" s="24">
        <f>前提!$B$60+SUMPRODUCT($B$6:$B$14,案件一覧!$N$4:$N$12,--(案件一覧!$M$4:$M$12&lt;=4))</f>
        <v>559.0</v>
      </c>
      <c r="G38" s="24">
        <f>前提!$B$60+SUMPRODUCT($B$6:$B$14,案件一覧!$N$4:$N$12,--(案件一覧!$M$4:$M$12&lt;=5))</f>
        <v>622.0</v>
      </c>
      <c r="H38" s="24">
        <f>前提!$B$60+SUMPRODUCT($B$6:$B$14,案件一覧!$N$4:$N$12,--(案件一覧!$M$4:$M$12&lt;=6))</f>
        <v>622.0</v>
      </c>
      <c r="I38" s="24">
        <f>前提!$B$60+SUMPRODUCT($B$6:$B$14,案件一覧!$N$4:$N$12,--(案件一覧!$M$4:$M$12&lt;=7))</f>
        <v>645.0</v>
      </c>
      <c r="J38" s="24">
        <f>前提!$B$60+SUMPRODUCT($B$6:$B$14,案件一覧!$N$4:$N$12,--(案件一覧!$M$4:$M$12&lt;=8))</f>
        <v>645.0</v>
      </c>
      <c r="K38" s="24">
        <f>前提!$B$60+SUMPRODUCT($B$6:$B$14,案件一覧!$N$4:$N$12,--(案件一覧!$M$4:$M$12&lt;=9))</f>
        <v>645.0</v>
      </c>
      <c r="L38" s="24">
        <f>前提!$B$60+SUMPRODUCT($B$6:$B$14,案件一覧!$N$4:$N$12,--(案件一覧!$M$4:$M$12&lt;=10))</f>
        <v>645.0</v>
      </c>
      <c r="M38" s="24">
        <f>前提!$B$60+SUMPRODUCT($B$6:$B$14,案件一覧!$N$4:$N$12,--(案件一覧!$M$4:$M$12&lt;=11))</f>
        <v>645.0</v>
      </c>
      <c r="N38" s="24">
        <f>前提!$B$60+SUMPRODUCT($B$6:$B$14,案件一覧!$N$4:$N$12,--(案件一覧!$M$4:$M$12&lt;=12))</f>
        <v>645.0</v>
      </c>
      <c r="O38" s="24">
        <f>前提!$B$60+SUMPRODUCT($B$6:$B$14,案件一覧!$N$4:$N$12,--(案件一覧!$M$4:$M$12&lt;=13))</f>
        <v>645.0</v>
      </c>
      <c r="P38" s="24">
        <f>前提!$B$60+SUMPRODUCT($B$6:$B$14,案件一覧!$N$4:$N$12,--(案件一覧!$M$4:$M$12&lt;=14))</f>
        <v>645.0</v>
      </c>
      <c r="Q38" s="24">
        <f>前提!$B$60+SUMPRODUCT($B$6:$B$14,案件一覧!$N$4:$N$12,--(案件一覧!$M$4:$M$12&lt;=15))</f>
        <v>645.0</v>
      </c>
      <c r="R38" s="24">
        <f>前提!$B$60+SUMPRODUCT($B$6:$B$14,案件一覧!$N$4:$N$12,--(案件一覧!$M$4:$M$12&lt;=16))</f>
        <v>645.0</v>
      </c>
      <c r="S38" s="24" t="n"/>
    </row>
    <row r="39">
      <c r="A39" s="6" t="inlineStr">
        <is>
          <t xml:space="preserve">　現預金（HD＋HT＋案件の残置現金）</t>
        </is>
      </c>
      <c r="C39" s="24">
        <f>C31+前提!D$57+SUMPRODUCT($B$6:$B$14,案件一覧!$O$4:$O$12,--(案件一覧!$M$4:$M$12&lt;=1))</f>
        <v>405.3</v>
      </c>
      <c r="D39" s="24">
        <f>D31+前提!E$57+SUMPRODUCT($B$6:$B$14,案件一覧!$O$4:$O$12,--(案件一覧!$M$4:$M$12&lt;=2))</f>
        <v>368.7</v>
      </c>
      <c r="E39" s="24">
        <f>E31+前提!F$57+SUMPRODUCT($B$6:$B$14,案件一覧!$O$4:$O$12,--(案件一覧!$M$4:$M$12&lt;=3))</f>
        <v>202.9</v>
      </c>
      <c r="F39" s="24">
        <f>F31+前提!G$57+SUMPRODUCT($B$6:$B$14,案件一覧!$O$4:$O$12,--(案件一覧!$M$4:$M$12&lt;=4))</f>
        <v>35.4</v>
      </c>
      <c r="G39" s="24">
        <f>G31+前提!H$57+SUMPRODUCT($B$6:$B$14,案件一覧!$O$4:$O$12,--(案件一覧!$M$4:$M$12&lt;=5))</f>
        <v>-48.4</v>
      </c>
      <c r="H39" s="24">
        <f>H31+前提!I$57+SUMPRODUCT($B$6:$B$14,案件一覧!$O$4:$O$12,--(案件一覧!$M$4:$M$12&lt;=6))</f>
        <v>-55.5</v>
      </c>
      <c r="I39" s="24">
        <f>I31+前提!J$57+SUMPRODUCT($B$6:$B$14,案件一覧!$O$4:$O$12,--(案件一覧!$M$4:$M$12&lt;=7))</f>
        <v>-108.0</v>
      </c>
      <c r="J39" s="24">
        <f>J31+前提!K$57+SUMPRODUCT($B$6:$B$14,案件一覧!$O$4:$O$12,--(案件一覧!$M$4:$M$12&lt;=8))</f>
        <v>-113.0</v>
      </c>
      <c r="K39" s="24">
        <f>K31+前提!L$57+SUMPRODUCT($B$6:$B$14,案件一覧!$O$4:$O$12,--(案件一覧!$M$4:$M$12&lt;=9))</f>
        <v>-118.0</v>
      </c>
      <c r="L39" s="24">
        <f>L31+前提!M$57+SUMPRODUCT($B$6:$B$14,案件一覧!$O$4:$O$12,--(案件一覧!$M$4:$M$12&lt;=10))</f>
        <v>-123.0</v>
      </c>
      <c r="M39" s="24">
        <f>M31+前提!N$57+SUMPRODUCT($B$6:$B$14,案件一覧!$O$4:$O$12,--(案件一覧!$M$4:$M$12&lt;=11))</f>
        <v>-128.0</v>
      </c>
      <c r="N39" s="24">
        <f>N31+前提!O$57+SUMPRODUCT($B$6:$B$14,案件一覧!$O$4:$O$12,--(案件一覧!$M$4:$M$12&lt;=12))</f>
        <v>-133.0</v>
      </c>
      <c r="O39" s="24">
        <f>O31+前提!P$57+SUMPRODUCT($B$6:$B$14,案件一覧!$O$4:$O$12,--(案件一覧!$M$4:$M$12&lt;=13))</f>
        <v>-138.0</v>
      </c>
      <c r="P39" s="24">
        <f>P31+前提!Q$57+SUMPRODUCT($B$6:$B$14,案件一覧!$O$4:$O$12,--(案件一覧!$M$4:$M$12&lt;=14))</f>
        <v>-143.0</v>
      </c>
      <c r="Q39" s="24">
        <f>Q31+前提!R$57+SUMPRODUCT($B$6:$B$14,案件一覧!$O$4:$O$12,--(案件一覧!$M$4:$M$12&lt;=15))</f>
        <v>-148.0</v>
      </c>
      <c r="R39" s="24">
        <f>R31+前提!S$57+SUMPRODUCT($B$6:$B$14,案件一覧!$O$4:$O$12,--(案件一覧!$M$4:$M$12&lt;=16))</f>
        <v>-153.0</v>
      </c>
      <c r="S39" s="24" t="n"/>
    </row>
    <row r="40">
      <c r="A40" s="6" t="inlineStr">
        <is>
          <t xml:space="preserve">　調整後EBITDA年換算（オーガニック＋案件現状値）</t>
        </is>
      </c>
      <c r="C40" s="24">
        <f>前提!D$56+SUMPRODUCT($B$6:$B$14,案件一覧!$E$4:$E$12,--(案件一覧!$M$4:$M$12&lt;=1))</f>
        <v>32</v>
      </c>
      <c r="D40" s="24">
        <f>前提!E$56+SUMPRODUCT($B$6:$B$14,案件一覧!$E$4:$E$12,--(案件一覧!$M$4:$M$12&lt;=2))</f>
        <v>34</v>
      </c>
      <c r="E40" s="24">
        <f>前提!F$56+SUMPRODUCT($B$6:$B$14,案件一覧!$E$4:$E$12,--(案件一覧!$M$4:$M$12&lt;=3))</f>
        <v>113</v>
      </c>
      <c r="F40" s="24">
        <f>前提!G$56+SUMPRODUCT($B$6:$B$14,案件一覧!$E$4:$E$12,--(案件一覧!$M$4:$M$12&lt;=4))</f>
        <v>118</v>
      </c>
      <c r="G40" s="24">
        <f>前提!H$56+SUMPRODUCT($B$6:$B$14,案件一覧!$E$4:$E$12,--(案件一覧!$M$4:$M$12&lt;=5))</f>
        <v>151</v>
      </c>
      <c r="H40" s="24">
        <f>前提!I$56+SUMPRODUCT($B$6:$B$14,案件一覧!$E$4:$E$12,--(案件一覧!$M$4:$M$12&lt;=6))</f>
        <v>151</v>
      </c>
      <c r="I40" s="24">
        <f>前提!J$56+SUMPRODUCT($B$6:$B$14,案件一覧!$E$4:$E$12,--(案件一覧!$M$4:$M$12&lt;=7))</f>
        <v>159</v>
      </c>
      <c r="J40" s="24">
        <f>前提!K$56+SUMPRODUCT($B$6:$B$14,案件一覧!$E$4:$E$12,--(案件一覧!$M$4:$M$12&lt;=8))</f>
        <v>159</v>
      </c>
      <c r="K40" s="24">
        <f>前提!L$56+SUMPRODUCT($B$6:$B$14,案件一覧!$E$4:$E$12,--(案件一覧!$M$4:$M$12&lt;=9))</f>
        <v>159</v>
      </c>
      <c r="L40" s="24">
        <f>前提!M$56+SUMPRODUCT($B$6:$B$14,案件一覧!$E$4:$E$12,--(案件一覧!$M$4:$M$12&lt;=10))</f>
        <v>159</v>
      </c>
      <c r="M40" s="24">
        <f>前提!N$56+SUMPRODUCT($B$6:$B$14,案件一覧!$E$4:$E$12,--(案件一覧!$M$4:$M$12&lt;=11))</f>
        <v>159</v>
      </c>
      <c r="N40" s="24">
        <f>前提!O$56+SUMPRODUCT($B$6:$B$14,案件一覧!$E$4:$E$12,--(案件一覧!$M$4:$M$12&lt;=12))</f>
        <v>159</v>
      </c>
      <c r="O40" s="24">
        <f>前提!P$56+SUMPRODUCT($B$6:$B$14,案件一覧!$E$4:$E$12,--(案件一覧!$M$4:$M$12&lt;=13))</f>
        <v>159</v>
      </c>
      <c r="P40" s="24">
        <f>前提!Q$56+SUMPRODUCT($B$6:$B$14,案件一覧!$E$4:$E$12,--(案件一覧!$M$4:$M$12&lt;=14))</f>
        <v>159</v>
      </c>
      <c r="Q40" s="24">
        <f>前提!R$56+SUMPRODUCT($B$6:$B$14,案件一覧!$E$4:$E$12,--(案件一覧!$M$4:$M$12&lt;=15))</f>
        <v>159</v>
      </c>
      <c r="R40" s="24">
        <f>前提!S$56+SUMPRODUCT($B$6:$B$14,案件一覧!$E$4:$E$12,--(案件一覧!$M$4:$M$12&lt;=16))</f>
        <v>159</v>
      </c>
      <c r="S40" s="24" t="n"/>
    </row>
    <row r="41">
      <c r="A41" s="6" t="inlineStr">
        <is>
          <t xml:space="preserve">　有利子負債（既存＋承継＋対象会社借入・最小化時）</t>
        </is>
      </c>
      <c r="C41" s="24">
        <f>前提!D$58+SUMPRODUCT($B$6:$B$14,案件一覧!$G$4:$G$12,--(案件一覧!$M$4:$M$12&lt;=1))+IF($B$3="最小化",SUMPRODUCT($B$6:$B$14,案件一覧!$P$4:$P$12,--(案件一覧!$Q$4:$Q$12&lt;=1)),0)</f>
        <v>410.0</v>
      </c>
      <c r="D41" s="24">
        <f>前提!E$58+SUMPRODUCT($B$6:$B$14,案件一覧!$G$4:$G$12,--(案件一覧!$M$4:$M$12&lt;=2))+IF($B$3="最小化",SUMPRODUCT($B$6:$B$14,案件一覧!$P$4:$P$12,--(案件一覧!$Q$4:$Q$12&lt;=2)),0)</f>
        <v>405.2</v>
      </c>
      <c r="E41" s="24">
        <f>前提!F$58+SUMPRODUCT($B$6:$B$14,案件一覧!$G$4:$G$12,--(案件一覧!$M$4:$M$12&lt;=3))+IF($B$3="最小化",SUMPRODUCT($B$6:$B$14,案件一覧!$P$4:$P$12,--(案件一覧!$Q$4:$Q$12&lt;=3)),0)</f>
        <v>525.2</v>
      </c>
      <c r="F41" s="24">
        <f>前提!G$58+SUMPRODUCT($B$6:$B$14,案件一覧!$G$4:$G$12,--(案件一覧!$M$4:$M$12&lt;=4))+IF($B$3="最小化",SUMPRODUCT($B$6:$B$14,案件一覧!$P$4:$P$12,--(案件一覧!$Q$4:$Q$12&lt;=4)),0)</f>
        <v>663.8</v>
      </c>
      <c r="G41" s="24">
        <f>前提!H$58+SUMPRODUCT($B$6:$B$14,案件一覧!$G$4:$G$12,--(案件一覧!$M$4:$M$12&lt;=5))+IF($B$3="最小化",SUMPRODUCT($B$6:$B$14,案件一覧!$P$4:$P$12,--(案件一覧!$Q$4:$Q$12&lt;=5)),0)</f>
        <v>691.8</v>
      </c>
      <c r="H41" s="24">
        <f>前提!I$58+SUMPRODUCT($B$6:$B$14,案件一覧!$G$4:$G$12,--(案件一覧!$M$4:$M$12&lt;=6))+IF($B$3="最小化",SUMPRODUCT($B$6:$B$14,案件一覧!$P$4:$P$12,--(案件一覧!$Q$4:$Q$12&lt;=6)),0)</f>
        <v>686.9</v>
      </c>
      <c r="I41" s="24">
        <f>前提!J$58+SUMPRODUCT($B$6:$B$14,案件一覧!$G$4:$G$12,--(案件一覧!$M$4:$M$12&lt;=7))+IF($B$3="最小化",SUMPRODUCT($B$6:$B$14,案件一覧!$P$4:$P$12,--(案件一覧!$Q$4:$Q$12&lt;=7)),0)</f>
        <v>682.1</v>
      </c>
      <c r="J41" s="24">
        <f>前提!K$58+SUMPRODUCT($B$6:$B$14,案件一覧!$G$4:$G$12,--(案件一覧!$M$4:$M$12&lt;=8))+IF($B$3="最小化",SUMPRODUCT($B$6:$B$14,案件一覧!$P$4:$P$12,--(案件一覧!$Q$4:$Q$12&lt;=8)),0)</f>
        <v>677.2</v>
      </c>
      <c r="K41" s="24">
        <f>前提!L$58+SUMPRODUCT($B$6:$B$14,案件一覧!$G$4:$G$12,--(案件一覧!$M$4:$M$12&lt;=9))+IF($B$3="最小化",SUMPRODUCT($B$6:$B$14,案件一覧!$P$4:$P$12,--(案件一覧!$Q$4:$Q$12&lt;=9)),0)</f>
        <v>722.4</v>
      </c>
      <c r="L41" s="24">
        <f>前提!M$58+SUMPRODUCT($B$6:$B$14,案件一覧!$G$4:$G$12,--(案件一覧!$M$4:$M$12&lt;=10))+IF($B$3="最小化",SUMPRODUCT($B$6:$B$14,案件一覧!$P$4:$P$12,--(案件一覧!$Q$4:$Q$12&lt;=10)),0)</f>
        <v>717.5</v>
      </c>
      <c r="M41" s="24">
        <f>前提!N$58+SUMPRODUCT($B$6:$B$14,案件一覧!$G$4:$G$12,--(案件一覧!$M$4:$M$12&lt;=11))+IF($B$3="最小化",SUMPRODUCT($B$6:$B$14,案件一覧!$P$4:$P$12,--(案件一覧!$Q$4:$Q$12&lt;=11)),0)</f>
        <v>712.7</v>
      </c>
      <c r="N41" s="24">
        <f>前提!O$58+SUMPRODUCT($B$6:$B$14,案件一覧!$G$4:$G$12,--(案件一覧!$M$4:$M$12&lt;=12))+IF($B$3="最小化",SUMPRODUCT($B$6:$B$14,案件一覧!$P$4:$P$12,--(案件一覧!$Q$4:$Q$12&lt;=12)),0)</f>
        <v>707.8</v>
      </c>
      <c r="O41" s="24">
        <f>前提!P$58+SUMPRODUCT($B$6:$B$14,案件一覧!$G$4:$G$12,--(案件一覧!$M$4:$M$12&lt;=13))+IF($B$3="最小化",SUMPRODUCT($B$6:$B$14,案件一覧!$P$4:$P$12,--(案件一覧!$Q$4:$Q$12&lt;=13)),0)</f>
        <v>703.0</v>
      </c>
      <c r="P41" s="24">
        <f>前提!Q$58+SUMPRODUCT($B$6:$B$14,案件一覧!$G$4:$G$12,--(案件一覧!$M$4:$M$12&lt;=14))+IF($B$3="最小化",SUMPRODUCT($B$6:$B$14,案件一覧!$P$4:$P$12,--(案件一覧!$Q$4:$Q$12&lt;=14)),0)</f>
        <v>698.1</v>
      </c>
      <c r="Q41" s="24">
        <f>前提!R$58+SUMPRODUCT($B$6:$B$14,案件一覧!$G$4:$G$12,--(案件一覧!$M$4:$M$12&lt;=15))+IF($B$3="最小化",SUMPRODUCT($B$6:$B$14,案件一覧!$P$4:$P$12,--(案件一覧!$Q$4:$Q$12&lt;=15)),0)</f>
        <v>693.3</v>
      </c>
      <c r="R41" s="24">
        <f>前提!S$58+SUMPRODUCT($B$6:$B$14,案件一覧!$G$4:$G$12,--(案件一覧!$M$4:$M$12&lt;=16))+IF($B$3="最小化",SUMPRODUCT($B$6:$B$14,案件一覧!$P$4:$P$12,--(案件一覧!$Q$4:$Q$12&lt;=16)),0)</f>
        <v>688.4</v>
      </c>
      <c r="S41" s="24" t="n"/>
    </row>
    <row r="42">
      <c r="A42" s="4" t="inlineStr">
        <is>
          <t>Net Debt Capacity ＝ EBITDA×4＋売掛金＋現預金−有利子負債</t>
        </is>
      </c>
      <c r="C42" s="26">
        <f>C40*4+C38+C39-C41</f>
        <v>315.2</v>
      </c>
      <c r="D42" s="26">
        <f>D40*4+D38+D39-D41</f>
        <v>291.5</v>
      </c>
      <c r="E42" s="26">
        <f>E40*4+E38+E39-E41</f>
        <v>443.7</v>
      </c>
      <c r="F42" s="26">
        <f>F40*4+F38+F39-F41</f>
        <v>402.7</v>
      </c>
      <c r="G42" s="26">
        <f>G40*4+G38+G39-G41</f>
        <v>485.8</v>
      </c>
      <c r="H42" s="26">
        <f>H40*4+H38+H39-H41</f>
        <v>483.6</v>
      </c>
      <c r="I42" s="26">
        <f>I40*4+I38+I39-I41</f>
        <v>490.9</v>
      </c>
      <c r="J42" s="26">
        <f>J40*4+J38+J39-J41</f>
        <v>490.8</v>
      </c>
      <c r="K42" s="26">
        <f>K40*4+K38+K39-K41</f>
        <v>440.6</v>
      </c>
      <c r="L42" s="26">
        <f>L40*4+L38+L39-L41</f>
        <v>440.5</v>
      </c>
      <c r="M42" s="26">
        <f>M40*4+M38+M39-M41</f>
        <v>440.3</v>
      </c>
      <c r="N42" s="26">
        <f>N40*4+N38+N39-N41</f>
        <v>440.2</v>
      </c>
      <c r="O42" s="26">
        <f>O40*4+O38+O39-O41</f>
        <v>440.0</v>
      </c>
      <c r="P42" s="26">
        <f>P40*4+P38+P39-P41</f>
        <v>439.9</v>
      </c>
      <c r="Q42" s="26">
        <f>Q40*4+Q38+Q39-Q41</f>
        <v>439.7</v>
      </c>
      <c r="R42" s="26">
        <f>R40*4+R38+R39-R41</f>
        <v>439.6</v>
      </c>
      <c r="S42" s="26" t="n"/>
    </row>
    <row r="45">
      <c r="A45" s="4" t="inlineStr">
        <is>
          <t>サマリー指標</t>
        </is>
      </c>
    </row>
    <row r="46">
      <c r="A46" s="6" t="inlineStr">
        <is>
          <t>総支出（案件・16ヶ月）</t>
        </is>
      </c>
      <c r="B46" s="21">
        <f>-S30</f>
        <v>614.3</v>
      </c>
    </row>
    <row r="47">
      <c r="A47" s="6" t="inlineStr">
        <is>
          <t>最低残高</t>
        </is>
      </c>
      <c r="B47" s="21">
        <f>MIN(C31:R31)</f>
        <v>-336.0</v>
      </c>
    </row>
    <row r="48">
      <c r="A48" s="6" t="inlineStr">
        <is>
          <t>最低残高の月</t>
        </is>
      </c>
      <c r="B48" s="4" t="str">
        <f>INDEX($C$17:$R$17,MATCH(B47,C31:R31,0))</f>
        <v>2027/12</v>
      </c>
    </row>
    <row r="49">
      <c r="A49" s="6" t="inlineStr">
        <is>
          <t>初めて安全水準を割る月</t>
        </is>
      </c>
      <c r="B49" s="4" t="str">
        <f>IFERROR(INDEX($C$17:$R$17,MATCH(1,C35:R35,0)),"—")</f>
        <v>2026/11</v>
      </c>
    </row>
    <row r="50">
      <c r="A50" s="6" t="inlineStr">
        <is>
          <t>必要調達額（2027/12まで）</t>
        </is>
      </c>
      <c r="B50" s="21">
        <f>MAX(C33:R33)</f>
        <v>436.0</v>
      </c>
    </row>
    <row r="51">
      <c r="A51" s="6" t="inlineStr">
        <is>
          <t>2026/11までの不足</t>
        </is>
      </c>
      <c r="B51" s="21">
        <f>E33</f>
        <v>11.15</v>
      </c>
    </row>
    <row r="52">
      <c r="A52" s="6" t="inlineStr">
        <is>
          <t>2027/1までの不足</t>
        </is>
      </c>
      <c r="B52" s="21">
        <f>G33</f>
        <v>311.4</v>
      </c>
    </row>
    <row r="53">
      <c r="A53" s="6" t="inlineStr">
        <is>
          <t>2027/3までの不足</t>
        </is>
      </c>
      <c r="B53" s="21">
        <f>I33</f>
        <v>391.0</v>
      </c>
    </row>
    <row r="54">
      <c r="A54" s="6" t="inlineStr">
        <is>
          <t>2027/12 期末現預金</t>
        </is>
      </c>
      <c r="B54" s="21">
        <f>R31</f>
        <v>-336.0</v>
      </c>
    </row>
    <row r="55">
      <c r="A55" s="6" t="inlineStr">
        <is>
          <t>年換算売上（オーガニック＋実行案件）</t>
        </is>
      </c>
      <c r="B55" s="27">
        <f>前提!$B$5+SUMPRODUCT($B$6:$B$14,案件一覧!$D$4:$D$12)</f>
        <v>4114</v>
      </c>
    </row>
    <row r="56">
      <c r="A56" s="6" t="inlineStr">
        <is>
          <t>年換算 調整後EBITDA（現状）</t>
        </is>
      </c>
      <c r="B56" s="27">
        <f>前提!$B$6+SUMPRODUCT($B$6:$B$14,案件一覧!$E$4:$E$12)</f>
        <v>159</v>
      </c>
    </row>
    <row r="57">
      <c r="A57" s="6" t="inlineStr">
        <is>
          <t>年換算 調整後EBITDA（改善後）</t>
        </is>
      </c>
      <c r="B57" s="27">
        <f>前提!$B$6+SUMPRODUCT($B$6:$B$14,案件一覧!$F$4:$F$12)</f>
        <v>289</v>
      </c>
    </row>
    <row r="58">
      <c r="A58" s="6" t="inlineStr">
        <is>
          <t>承継・残置負債</t>
        </is>
      </c>
      <c r="B58" s="21">
        <f>SUMPRODUCT($B$6:$B$14,案件一覧!$G$4:$G$12)</f>
        <v>221.15</v>
      </c>
    </row>
    <row r="59">
      <c r="A59" s="6" t="inlineStr">
        <is>
          <t>Net Debt Capacity 2026/12</t>
        </is>
      </c>
      <c r="B59" s="21">
        <f>F42</f>
        <v>402.7</v>
      </c>
    </row>
    <row r="60">
      <c r="A60" s="6" t="inlineStr">
        <is>
          <t>Net Debt Capacity 2027/12</t>
        </is>
      </c>
      <c r="B60" s="21">
        <f>R42</f>
        <v>439.6</v>
      </c>
    </row>
    <row r="61">
      <c r="A61" s="6" t="inlineStr">
        <is>
          <t>2027/12 有利子負債（調達前）</t>
        </is>
      </c>
      <c r="B61" s="21">
        <f>R41</f>
        <v>688.4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6" customWidth="1" min="1" max="1"/>
    <col width="14" customWidth="1" min="2" max="2"/>
    <col width="20" customWidth="1" min="3" max="3"/>
    <col width="14" customWidth="1" min="4" max="4"/>
    <col width="18" customWidth="1" min="5" max="5"/>
    <col width="18" customWidth="1" min="6" max="6"/>
  </cols>
  <sheetData>
    <row r="1">
      <c r="A1" s="14" t="inlineStr">
        <is>
          <t>連結 月次実績（2026年1〜8月・百万円）</t>
        </is>
      </c>
    </row>
    <row r="3">
      <c r="A3" s="3" t="inlineStr">
        <is>
          <t>月</t>
        </is>
      </c>
      <c r="B3" s="3" t="inlineStr">
        <is>
          <t>連結売上</t>
        </is>
      </c>
      <c r="C3" s="3" t="inlineStr">
        <is>
          <t>連結 調整後営業利益</t>
        </is>
      </c>
      <c r="D3" s="3" t="inlineStr">
        <is>
          <t>連結 現預金</t>
        </is>
      </c>
      <c r="E3" s="3" t="inlineStr">
        <is>
          <t>連結 有利子負債</t>
        </is>
      </c>
      <c r="F3" s="3" t="inlineStr">
        <is>
          <t>HD 調整後営業損益</t>
        </is>
      </c>
    </row>
    <row r="4">
      <c r="A4" s="6" t="inlineStr">
        <is>
          <t>2026年1月</t>
        </is>
      </c>
      <c r="B4" s="15" t="n">
        <v>96.3</v>
      </c>
      <c r="C4" s="15" t="n">
        <v>4.4</v>
      </c>
      <c r="D4" s="15" t="n">
        <v>165.5</v>
      </c>
      <c r="E4" s="15" t="n">
        <v>348.5</v>
      </c>
      <c r="F4" s="15" t="n">
        <v>-9.9</v>
      </c>
    </row>
    <row r="5">
      <c r="A5" s="6" t="inlineStr">
        <is>
          <t>2026年2月</t>
        </is>
      </c>
      <c r="B5" s="15" t="n">
        <v>96.40000000000001</v>
      </c>
      <c r="C5" s="15" t="n">
        <v>4.1</v>
      </c>
      <c r="D5" s="15" t="n">
        <v>137.3</v>
      </c>
      <c r="E5" s="15" t="n">
        <v>344.7</v>
      </c>
      <c r="F5" s="15" t="n">
        <v>-2.4</v>
      </c>
    </row>
    <row r="6">
      <c r="A6" s="6" t="inlineStr">
        <is>
          <t>2026年3月</t>
        </is>
      </c>
      <c r="B6" s="15" t="n">
        <v>93.09999999999999</v>
      </c>
      <c r="C6" s="15" t="n">
        <v>-0.8</v>
      </c>
      <c r="D6" s="15" t="n">
        <v>534.3</v>
      </c>
      <c r="E6" s="15" t="n">
        <v>401.7</v>
      </c>
      <c r="F6" s="15" t="n">
        <v>-1</v>
      </c>
    </row>
    <row r="7">
      <c r="A7" s="6" t="inlineStr">
        <is>
          <t>2026年4月</t>
        </is>
      </c>
      <c r="B7" s="15" t="n">
        <v>96.2</v>
      </c>
      <c r="C7" s="15" t="n">
        <v>1.8</v>
      </c>
      <c r="D7" s="15" t="n">
        <v>516.7</v>
      </c>
      <c r="E7" s="15" t="n">
        <v>394.3</v>
      </c>
      <c r="F7" s="15" t="n">
        <v>-2.2</v>
      </c>
    </row>
    <row r="8">
      <c r="A8" s="6" t="inlineStr">
        <is>
          <t>2026年5月</t>
        </is>
      </c>
      <c r="B8" s="15" t="n">
        <v>94.59999999999999</v>
      </c>
      <c r="C8" s="15" t="n">
        <v>0</v>
      </c>
      <c r="D8" s="15" t="n">
        <v>445</v>
      </c>
      <c r="E8" s="15" t="n">
        <v>329.5</v>
      </c>
      <c r="F8" s="15" t="n">
        <v>-0.9</v>
      </c>
    </row>
    <row r="9">
      <c r="A9" s="6" t="inlineStr">
        <is>
          <t>2026年6月</t>
        </is>
      </c>
      <c r="B9" s="15" t="n">
        <v>97</v>
      </c>
      <c r="C9" s="15" t="n">
        <v>2.5</v>
      </c>
      <c r="D9" s="15" t="n">
        <v>520.7</v>
      </c>
      <c r="E9" s="15" t="n">
        <v>386.9</v>
      </c>
      <c r="F9" s="15" t="n">
        <v>-1.4</v>
      </c>
    </row>
    <row r="10">
      <c r="A10" s="6" t="inlineStr">
        <is>
          <t>2026年7月</t>
        </is>
      </c>
      <c r="B10" s="15" t="n">
        <v>100.8</v>
      </c>
      <c r="C10" s="15" t="n">
        <v>3.7</v>
      </c>
      <c r="D10" s="15" t="n">
        <v>460.5</v>
      </c>
      <c r="E10" s="15" t="n">
        <v>379.7</v>
      </c>
      <c r="F10" s="15" t="n">
        <v>-1.4</v>
      </c>
    </row>
    <row r="11">
      <c r="A11" s="6" t="inlineStr">
        <is>
          <t>2026年8月</t>
        </is>
      </c>
      <c r="B11" s="15" t="n">
        <v>102.2</v>
      </c>
      <c r="C11" s="15" t="n"/>
      <c r="D11" s="15" t="n">
        <v>442.3</v>
      </c>
      <c r="E11" s="15" t="n">
        <v>414.9</v>
      </c>
      <c r="F11" s="15" t="n"/>
    </row>
    <row r="12">
      <c r="A12" s="4" t="inlineStr">
        <is>
          <t>1〜8月 合計</t>
        </is>
      </c>
      <c r="B12" s="17">
        <f>SUM(B4:B11)</f>
        <v>776.6</v>
      </c>
      <c r="C12" s="17">
        <f>SUM(C4:C10)</f>
        <v>15.7</v>
      </c>
    </row>
    <row r="14">
      <c r="A14" s="2" t="inlineStr">
        <is>
          <t>出所：連結月次PL/BS/DC（FY2026_4）、freee 8月末試算表。8月売上は暫定、有利子負債は簿外46.3計上後。HTは1ヶ月遅れ連結</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2026-09-23T08:39:38Z</dcterms:created>
  <dcterms:modified xsi:type="dcterms:W3CDTF">2026-09-23T08:39:38Z</dcterms:modified>
</cp:coreProperties>
</file>
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S6" sheetId="10" state="visible" r:id="rId10"/>
    <sheet name="月次実績2026" sheetId="11" state="visible" r:id="rId11"/>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v>
          </tx>
          <spPr>
            <a:ln>
              <a:prstDash val="solid"/>
            </a:ln>
          </spPr>
          <marker>
            <symbol val="none"/>
            <spPr>
              <a:ln>
                <a:prstDash val="solid"/>
              </a:ln>
            </spPr>
          </marker>
          <cat>
            <numRef>
              <f>'サマリー'!$D$23:$S$23</f>
            </numRef>
          </cat>
          <val>
            <numRef>
              <f>'サマリー'!$D$24:$S$24</f>
            </numRef>
          </val>
        </ser>
        <ser>
          <idx val="1"/>
          <order val="1"/>
          <tx>
            <v>S2 基本＋ワイズケア</v>
          </tx>
          <spPr>
            <a:ln>
              <a:prstDash val="solid"/>
            </a:ln>
          </spPr>
          <marker>
            <symbol val="none"/>
            <spPr>
              <a:ln>
                <a:prstDash val="solid"/>
              </a:ln>
            </spPr>
          </marker>
          <cat>
            <numRef>
              <f>'サマリー'!$D$23:$S$23</f>
            </numRef>
          </cat>
          <val>
            <numRef>
              <f>'サマリー'!$D$25:$S$25</f>
            </numRef>
          </val>
        </ser>
        <ser>
          <idx val="2"/>
          <order val="2"/>
          <tx>
            <v>S3 基本＋エーステイスト</v>
          </tx>
          <spPr>
            <a:ln>
              <a:prstDash val="solid"/>
            </a:ln>
          </spPr>
          <marker>
            <symbol val="none"/>
            <spPr>
              <a:ln>
                <a:prstDash val="solid"/>
              </a:ln>
            </spPr>
          </marker>
          <cat>
            <numRef>
              <f>'サマリー'!$D$23:$S$23</f>
            </numRef>
          </cat>
          <val>
            <numRef>
              <f>'サマリー'!$D$26:$S$26</f>
            </numRef>
          </val>
        </ser>
        <ser>
          <idx val="3"/>
          <order val="3"/>
          <tx>
            <v>S4 基本＋ワイズ＋エース</v>
          </tx>
          <spPr>
            <a:ln>
              <a:prstDash val="solid"/>
            </a:ln>
          </spPr>
          <marker>
            <symbol val="none"/>
            <spPr>
              <a:ln>
                <a:prstDash val="solid"/>
              </a:ln>
            </spPr>
          </marker>
          <cat>
            <numRef>
              <f>'サマリー'!$D$23:$S$23</f>
            </numRef>
          </cat>
          <val>
            <numRef>
              <f>'サマリー'!$D$27:$S$27</f>
            </numRef>
          </val>
        </ser>
        <ser>
          <idx val="4"/>
          <order val="4"/>
          <tx>
            <v>S5 全件（＋日本経営C＋セレサ）</v>
          </tx>
          <spPr>
            <a:ln>
              <a:prstDash val="solid"/>
            </a:ln>
          </spPr>
          <marker>
            <symbol val="none"/>
            <spPr>
              <a:ln>
                <a:prstDash val="solid"/>
              </a:ln>
            </spPr>
          </marker>
          <cat>
            <numRef>
              <f>'サマリー'!$D$23:$S$23</f>
            </numRef>
          </cat>
          <val>
            <numRef>
              <f>'サマリー'!$D$28:$S$28</f>
            </numRef>
          </val>
        </ser>
        <ser>
          <idx val="5"/>
          <order val="5"/>
          <tx>
            <v>S6 全件＋シルバーメディカル</v>
          </tx>
          <spPr>
            <a:ln>
              <a:prstDash val="solid"/>
            </a:ln>
          </spPr>
          <marker>
            <symbol val="none"/>
            <spPr>
              <a:ln>
                <a:prstDash val="solid"/>
              </a:ln>
            </spPr>
          </marker>
          <cat>
            <numRef>
              <f>'サマリー'!$D$23:$S$23</f>
            </numRef>
          </cat>
          <val>
            <numRef>
              <f>'サマリー'!$D$29:$S$29</f>
            </numRef>
          </val>
        </ser>
        <ser>
          <idx val="6"/>
          <order val="6"/>
          <tx>
            <v>安全水準</v>
          </tx>
          <spPr>
            <a:ln>
              <a:prstDash val="dash"/>
            </a:ln>
          </spPr>
          <marker>
            <symbol val="none"/>
            <spPr>
              <a:ln>
                <a:prstDash val="solid"/>
              </a:ln>
            </spPr>
          </marker>
          <cat>
            <numRef>
              <f>'サマリー'!$D$23:$S$23</f>
            </numRef>
          </cat>
          <val>
            <numRef>
              <f>'サマリー'!$D$30:$S$30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t>
        </is>
      </c>
      <c r="B5" s="5" t="str">
        <f>S1!$B$3</f>
        <v>最小化</v>
      </c>
      <c r="C5" s="6" t="inlineStr">
        <is>
          <t>メディプロ、ヒューマンアイ、クレッシェンド</t>
        </is>
      </c>
      <c r="D5" s="7">
        <f>S1!$B$39</f>
        <v>133.6</v>
      </c>
      <c r="E5" s="7">
        <f>S1!$B$40</f>
        <v>144.7</v>
      </c>
      <c r="F5" s="8" t="str">
        <f>S1!$B$41</f>
        <v>2027/12</v>
      </c>
      <c r="G5" s="8" t="str">
        <f>S1!$B$42</f>
        <v>—</v>
      </c>
      <c r="H5" s="7">
        <f>S1!$B$43</f>
        <v>0</v>
      </c>
      <c r="I5" s="7">
        <f>S1!$B$44</f>
        <v>0</v>
      </c>
      <c r="J5" s="7">
        <f>S1!$B$45</f>
        <v>0</v>
      </c>
      <c r="K5" s="7">
        <f>S1!$B$46</f>
        <v>0</v>
      </c>
      <c r="L5" s="7">
        <f>S1!$B$47</f>
        <v>144.7</v>
      </c>
      <c r="M5" s="9">
        <f>S1!$B$48</f>
        <v>1658</v>
      </c>
      <c r="N5" s="9">
        <f>S1!$B$49</f>
        <v>104</v>
      </c>
      <c r="O5" s="9">
        <f>S1!$B$50</f>
        <v>124</v>
      </c>
      <c r="P5" s="7">
        <f>S1!$B$51</f>
        <v>44.85</v>
      </c>
    </row>
    <row r="6">
      <c r="A6" s="4" t="inlineStr">
        <is>
          <t>S2 基本＋ワイズケア</t>
        </is>
      </c>
      <c r="B6" s="5" t="str">
        <f>S2!$B$3</f>
        <v>最小化</v>
      </c>
      <c r="C6" s="6" t="inlineStr">
        <is>
          <t>メディプロ、ヒューマンアイ、クレッシェンド、ワイズケア</t>
        </is>
      </c>
      <c r="D6" s="7">
        <f>S2!$B$39</f>
        <v>269.6</v>
      </c>
      <c r="E6" s="7">
        <f>S2!$B$40</f>
        <v>8.7</v>
      </c>
      <c r="F6" s="8" t="str">
        <f>S2!$B$41</f>
        <v>2027/12</v>
      </c>
      <c r="G6" s="8" t="str">
        <f>S2!$B$42</f>
        <v>2026/11</v>
      </c>
      <c r="H6" s="7">
        <f>S2!$B$43</f>
        <v>91.3</v>
      </c>
      <c r="I6" s="7">
        <f>S2!$B$44</f>
        <v>0.3</v>
      </c>
      <c r="J6" s="7">
        <f>S2!$B$45</f>
        <v>24.3</v>
      </c>
      <c r="K6" s="7">
        <f>S2!$B$46</f>
        <v>46.3</v>
      </c>
      <c r="L6" s="7">
        <f>S2!$B$47</f>
        <v>8.7</v>
      </c>
      <c r="M6" s="9">
        <f>S2!$B$48</f>
        <v>2143</v>
      </c>
      <c r="N6" s="9">
        <f>S2!$B$49</f>
        <v>142</v>
      </c>
      <c r="O6" s="9">
        <f>S2!$B$50</f>
        <v>190</v>
      </c>
      <c r="P6" s="7">
        <f>S2!$B$51</f>
        <v>44.85</v>
      </c>
    </row>
    <row r="7">
      <c r="A7" s="4" t="inlineStr">
        <is>
          <t>S3 基本＋エーステイスト</t>
        </is>
      </c>
      <c r="B7" s="5" t="str">
        <f>S3!$B$3</f>
        <v>最小化</v>
      </c>
      <c r="C7" s="6" t="inlineStr">
        <is>
          <t>メディプロ、ヒューマンアイ、クレッシェンド、エーステイスト</t>
        </is>
      </c>
      <c r="D7" s="7">
        <f>S3!$B$39</f>
        <v>208.1</v>
      </c>
      <c r="E7" s="7">
        <f>S3!$B$40</f>
        <v>70.2</v>
      </c>
      <c r="F7" s="8" t="str">
        <f>S3!$B$41</f>
        <v>2027/12</v>
      </c>
      <c r="G7" s="8" t="str">
        <f>S3!$B$42</f>
        <v>2027/7</v>
      </c>
      <c r="H7" s="7">
        <f>S3!$B$43</f>
        <v>29.8</v>
      </c>
      <c r="I7" s="7">
        <f>S3!$B$44</f>
        <v>0</v>
      </c>
      <c r="J7" s="7">
        <f>S3!$B$45</f>
        <v>0</v>
      </c>
      <c r="K7" s="7">
        <f>S3!$B$46</f>
        <v>0</v>
      </c>
      <c r="L7" s="7">
        <f>S3!$B$47</f>
        <v>70.2</v>
      </c>
      <c r="M7" s="9">
        <f>S3!$B$48</f>
        <v>2108</v>
      </c>
      <c r="N7" s="9">
        <f>S3!$B$49</f>
        <v>124</v>
      </c>
      <c r="O7" s="9">
        <f>S3!$B$50</f>
        <v>149</v>
      </c>
      <c r="P7" s="7">
        <f>S3!$B$51</f>
        <v>105.25</v>
      </c>
    </row>
    <row r="8">
      <c r="A8" s="4" t="inlineStr">
        <is>
          <t>S4 基本＋ワイズ＋エース</t>
        </is>
      </c>
      <c r="B8" s="5" t="str">
        <f>S4!$B$3</f>
        <v>最小化</v>
      </c>
      <c r="C8" s="6" t="inlineStr">
        <is>
          <t>メディプロ、ヒューマンアイ、クレッシェンド、ワイズケア、エーステイスト</t>
        </is>
      </c>
      <c r="D8" s="7">
        <f>S4!$B$39</f>
        <v>344.1</v>
      </c>
      <c r="E8" s="7">
        <f>S4!$B$40</f>
        <v>-65.8</v>
      </c>
      <c r="F8" s="8" t="str">
        <f>S4!$B$41</f>
        <v>2027/12</v>
      </c>
      <c r="G8" s="8" t="str">
        <f>S4!$B$42</f>
        <v>2026/11</v>
      </c>
      <c r="H8" s="7">
        <f>S4!$B$43</f>
        <v>165.8</v>
      </c>
      <c r="I8" s="7">
        <f>S4!$B$44</f>
        <v>5.05</v>
      </c>
      <c r="J8" s="7">
        <f>S4!$B$45</f>
        <v>98.8</v>
      </c>
      <c r="K8" s="7">
        <f>S4!$B$46</f>
        <v>120.8</v>
      </c>
      <c r="L8" s="7">
        <f>S4!$B$47</f>
        <v>-65.8</v>
      </c>
      <c r="M8" s="9">
        <f>S4!$B$48</f>
        <v>2593</v>
      </c>
      <c r="N8" s="9">
        <f>S4!$B$49</f>
        <v>162</v>
      </c>
      <c r="O8" s="9">
        <f>S4!$B$50</f>
        <v>215</v>
      </c>
      <c r="P8" s="7">
        <f>S4!$B$51</f>
        <v>105.25</v>
      </c>
    </row>
    <row r="9">
      <c r="A9" s="4" t="inlineStr">
        <is>
          <t>S5 全件（＋日本経営C＋セレサ）</t>
        </is>
      </c>
      <c r="B9" s="5" t="str">
        <f>S5!$B$3</f>
        <v>最小化</v>
      </c>
      <c r="C9" s="6" t="inlineStr">
        <is>
          <t>メディプロ、ヒューマンアイ、クレッシェンド、ワイズケア、エーステイスト、日本経営センター、セレサ</t>
        </is>
      </c>
      <c r="D9" s="7">
        <f>S5!$B$39</f>
        <v>494.2</v>
      </c>
      <c r="E9" s="7">
        <f>S5!$B$40</f>
        <v>-215.9</v>
      </c>
      <c r="F9" s="8" t="str">
        <f>S5!$B$41</f>
        <v>2027/12</v>
      </c>
      <c r="G9" s="8" t="str">
        <f>S5!$B$42</f>
        <v>2026/11</v>
      </c>
      <c r="H9" s="7">
        <f>S5!$B$43</f>
        <v>315.9</v>
      </c>
      <c r="I9" s="7">
        <f>S5!$B$44</f>
        <v>5.05</v>
      </c>
      <c r="J9" s="7">
        <f>S5!$B$45</f>
        <v>191.3</v>
      </c>
      <c r="K9" s="7">
        <f>S5!$B$46</f>
        <v>270.9</v>
      </c>
      <c r="L9" s="7">
        <f>S5!$B$47</f>
        <v>-215.9</v>
      </c>
      <c r="M9" s="9">
        <f>S5!$B$48</f>
        <v>3111</v>
      </c>
      <c r="N9" s="9">
        <f>S5!$B$49</f>
        <v>182</v>
      </c>
      <c r="O9" s="9">
        <f>S5!$B$50</f>
        <v>255</v>
      </c>
      <c r="P9" s="7">
        <f>S5!$B$51</f>
        <v>138.15</v>
      </c>
    </row>
    <row r="10">
      <c r="A10" s="4" t="inlineStr">
        <is>
          <t>S6 全件＋シルバーメディカル</t>
        </is>
      </c>
      <c r="B10" s="5" t="str">
        <f>S6!$B$3</f>
        <v>最小化</v>
      </c>
      <c r="C10" s="6" t="inlineStr">
        <is>
          <t>メディプロ、ヒューマンアイ、クレッシェンド、ワイズケア、エーステイスト、日本経営センター、セレサ、シルバーメディカル</t>
        </is>
      </c>
      <c r="D10" s="7">
        <f>S6!$B$39</f>
        <v>614.3</v>
      </c>
      <c r="E10" s="7">
        <f>S6!$B$40</f>
        <v>-336.0</v>
      </c>
      <c r="F10" s="8" t="str">
        <f>S6!$B$41</f>
        <v>2027/12</v>
      </c>
      <c r="G10" s="8" t="str">
        <f>S6!$B$42</f>
        <v>2026/11</v>
      </c>
      <c r="H10" s="7">
        <f>S6!$B$43</f>
        <v>436.0</v>
      </c>
      <c r="I10" s="7">
        <f>S6!$B$44</f>
        <v>11.15</v>
      </c>
      <c r="J10" s="7">
        <f>S6!$B$45</f>
        <v>311.4</v>
      </c>
      <c r="K10" s="7">
        <f>S6!$B$46</f>
        <v>391.0</v>
      </c>
      <c r="L10" s="7">
        <f>S6!$B$47</f>
        <v>-336.0</v>
      </c>
      <c r="M10" s="9">
        <f>S6!$B$48</f>
        <v>3888</v>
      </c>
      <c r="N10" s="9">
        <f>S6!$B$49</f>
        <v>161</v>
      </c>
      <c r="O10" s="9">
        <f>S6!$B$50</f>
        <v>271</v>
      </c>
      <c r="P10" s="7">
        <f>S6!$B$51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t>
        </is>
      </c>
      <c r="B15" s="10" t="n">
        <v>189.6</v>
      </c>
      <c r="C15" s="10" t="n">
        <v>11</v>
      </c>
      <c r="D15" s="10" t="n">
        <v>133.6</v>
      </c>
      <c r="E15" s="10" t="n">
        <v>0</v>
      </c>
      <c r="F15" s="11" t="inlineStr">
        <is>
          <t>—</t>
        </is>
      </c>
      <c r="G15" s="10" t="n">
        <v>1658</v>
      </c>
      <c r="H15" s="6" t="inlineStr">
        <is>
          <t>104 / 124</t>
        </is>
      </c>
    </row>
    <row r="16">
      <c r="A16" s="6" t="inlineStr">
        <is>
          <t>S2 基本＋ワイズケア</t>
        </is>
      </c>
      <c r="B16" s="10" t="n">
        <v>455.6</v>
      </c>
      <c r="C16" s="10" t="n">
        <v>277</v>
      </c>
      <c r="D16" s="10" t="n">
        <v>269.6</v>
      </c>
      <c r="E16" s="10" t="n">
        <v>91</v>
      </c>
      <c r="F16" s="11" t="inlineStr">
        <is>
          <t>26/11</t>
        </is>
      </c>
      <c r="G16" s="10" t="n">
        <v>2143</v>
      </c>
      <c r="H16" s="6" t="inlineStr">
        <is>
          <t>142 / 190</t>
        </is>
      </c>
    </row>
    <row r="17">
      <c r="A17" s="6" t="inlineStr">
        <is>
          <t>S3 基本＋エーステイスト</t>
        </is>
      </c>
      <c r="B17" s="10" t="n">
        <v>264.2</v>
      </c>
      <c r="C17" s="10" t="n">
        <v>86</v>
      </c>
      <c r="D17" s="10" t="n">
        <v>208.2</v>
      </c>
      <c r="E17" s="10" t="n">
        <v>30</v>
      </c>
      <c r="F17" s="11" t="inlineStr">
        <is>
          <t>27/7</t>
        </is>
      </c>
      <c r="G17" s="10" t="n">
        <v>2108</v>
      </c>
      <c r="H17" s="6" t="inlineStr">
        <is>
          <t>124 / 149</t>
        </is>
      </c>
    </row>
    <row r="18">
      <c r="A18" s="6" t="inlineStr">
        <is>
          <t>S4 基本＋ワイズ＋エース</t>
        </is>
      </c>
      <c r="B18" s="10" t="n">
        <v>530.2</v>
      </c>
      <c r="C18" s="10" t="n">
        <v>352</v>
      </c>
      <c r="D18" s="10" t="n">
        <v>344.2</v>
      </c>
      <c r="E18" s="10" t="n">
        <v>166</v>
      </c>
      <c r="F18" s="11" t="inlineStr">
        <is>
          <t>26/11</t>
        </is>
      </c>
      <c r="G18" s="10" t="n">
        <v>2593</v>
      </c>
      <c r="H18" s="6" t="inlineStr">
        <is>
          <t>162 / 215</t>
        </is>
      </c>
    </row>
    <row r="19">
      <c r="A19" s="6" t="inlineStr">
        <is>
          <t>S5 全件（＋日本経営C＋セレサ）</t>
        </is>
      </c>
      <c r="B19" s="10" t="n">
        <v>701.9</v>
      </c>
      <c r="C19" s="10" t="n">
        <v>524</v>
      </c>
      <c r="D19" s="10" t="n">
        <v>494.3</v>
      </c>
      <c r="E19" s="10" t="n">
        <v>316</v>
      </c>
      <c r="F19" s="11" t="inlineStr">
        <is>
          <t>26/11</t>
        </is>
      </c>
      <c r="G19" s="10" t="n">
        <v>3111</v>
      </c>
      <c r="H19" s="6" t="inlineStr">
        <is>
          <t>182 / 255</t>
        </is>
      </c>
    </row>
    <row r="20">
      <c r="A20" s="6" t="inlineStr">
        <is>
          <t>S6 全件＋シルバーメディカル</t>
        </is>
      </c>
      <c r="B20" s="10" t="n">
        <v>880</v>
      </c>
      <c r="C20" s="10" t="n">
        <v>702</v>
      </c>
      <c r="D20" s="10" t="n">
        <v>614.4</v>
      </c>
      <c r="E20" s="10" t="n">
        <v>436</v>
      </c>
      <c r="F20" s="11" t="inlineStr">
        <is>
          <t>26/11</t>
        </is>
      </c>
      <c r="G20" s="10" t="n">
        <v>3888</v>
      </c>
      <c r="H20" s="6" t="inlineStr">
        <is>
          <t>161 / 271</t>
        </is>
      </c>
    </row>
    <row r="22">
      <c r="A22" s="4" t="inlineStr">
        <is>
          <t>期末現預金の月次推移（シナリオ別・各シートのモードに連動）</t>
        </is>
      </c>
    </row>
    <row r="23">
      <c r="A23" s="3" t="inlineStr">
        <is>
          <t>シナリオ</t>
        </is>
      </c>
      <c r="B23" s="3" t="inlineStr"/>
      <c r="C23" s="3" t="inlineStr"/>
      <c r="D23" s="3" t="inlineStr">
        <is>
          <t>2026/9</t>
        </is>
      </c>
      <c r="E23" s="3" t="inlineStr">
        <is>
          <t>2026/10</t>
        </is>
      </c>
      <c r="F23" s="3" t="inlineStr">
        <is>
          <t>2026/11</t>
        </is>
      </c>
      <c r="G23" s="3" t="inlineStr">
        <is>
          <t>2026/12</t>
        </is>
      </c>
      <c r="H23" s="3" t="inlineStr">
        <is>
          <t>2027/1</t>
        </is>
      </c>
      <c r="I23" s="3" t="inlineStr">
        <is>
          <t>2027/2</t>
        </is>
      </c>
      <c r="J23" s="3" t="inlineStr">
        <is>
          <t>2027/3</t>
        </is>
      </c>
      <c r="K23" s="3" t="inlineStr">
        <is>
          <t>2027/4</t>
        </is>
      </c>
      <c r="L23" s="3" t="inlineStr">
        <is>
          <t>2027/5</t>
        </is>
      </c>
      <c r="M23" s="3" t="inlineStr">
        <is>
          <t>2027/6</t>
        </is>
      </c>
      <c r="N23" s="3" t="inlineStr">
        <is>
          <t>2027/7</t>
        </is>
      </c>
      <c r="O23" s="3" t="inlineStr">
        <is>
          <t>2027/8</t>
        </is>
      </c>
      <c r="P23" s="3" t="inlineStr">
        <is>
          <t>2027/9</t>
        </is>
      </c>
      <c r="Q23" s="3" t="inlineStr">
        <is>
          <t>2027/10</t>
        </is>
      </c>
      <c r="R23" s="3" t="inlineStr">
        <is>
          <t>2027/11</t>
        </is>
      </c>
      <c r="S23" s="3" t="inlineStr">
        <is>
          <t>2027/12</t>
        </is>
      </c>
    </row>
    <row r="24">
      <c r="A24" s="6" t="inlineStr">
        <is>
          <t>S1 基本（確定4件）</t>
        </is>
      </c>
      <c r="D24" s="12">
        <f>S1!C31</f>
        <v>329.3</v>
      </c>
      <c r="E24" s="12">
        <f>S1!D31</f>
        <v>305.2</v>
      </c>
      <c r="F24" s="12">
        <f>S1!E31</f>
        <v>235.7</v>
      </c>
      <c r="G24" s="12">
        <f>S1!F31</f>
        <v>216.7</v>
      </c>
      <c r="H24" s="12">
        <f>S1!G31</f>
        <v>211.7</v>
      </c>
      <c r="I24" s="12">
        <f>S1!H31</f>
        <v>206.7</v>
      </c>
      <c r="J24" s="12">
        <f>S1!I31</f>
        <v>189.7</v>
      </c>
      <c r="K24" s="12">
        <f>S1!J31</f>
        <v>184.7</v>
      </c>
      <c r="L24" s="12">
        <f>S1!K31</f>
        <v>179.7</v>
      </c>
      <c r="M24" s="12">
        <f>S1!L31</f>
        <v>174.7</v>
      </c>
      <c r="N24" s="12">
        <f>S1!M31</f>
        <v>169.7</v>
      </c>
      <c r="O24" s="12">
        <f>S1!N31</f>
        <v>164.7</v>
      </c>
      <c r="P24" s="12">
        <f>S1!O31</f>
        <v>159.7</v>
      </c>
      <c r="Q24" s="12">
        <f>S1!P31</f>
        <v>154.7</v>
      </c>
      <c r="R24" s="12">
        <f>S1!Q31</f>
        <v>149.7</v>
      </c>
      <c r="S24" s="12">
        <f>S1!R31</f>
        <v>144.7</v>
      </c>
    </row>
    <row r="25">
      <c r="A25" s="6" t="inlineStr">
        <is>
          <t>S2 基本＋ワイズケア</t>
        </is>
      </c>
      <c r="D25" s="12">
        <f>S2!C31</f>
        <v>329.3</v>
      </c>
      <c r="E25" s="12">
        <f>S2!D31</f>
        <v>296.5</v>
      </c>
      <c r="F25" s="12">
        <f>S2!E31</f>
        <v>99.7</v>
      </c>
      <c r="G25" s="12">
        <f>S2!F31</f>
        <v>80.7</v>
      </c>
      <c r="H25" s="12">
        <f>S2!G31</f>
        <v>75.7</v>
      </c>
      <c r="I25" s="12">
        <f>S2!H31</f>
        <v>70.7</v>
      </c>
      <c r="J25" s="12">
        <f>S2!I31</f>
        <v>53.7</v>
      </c>
      <c r="K25" s="12">
        <f>S2!J31</f>
        <v>48.7</v>
      </c>
      <c r="L25" s="12">
        <f>S2!K31</f>
        <v>43.7</v>
      </c>
      <c r="M25" s="12">
        <f>S2!L31</f>
        <v>38.7</v>
      </c>
      <c r="N25" s="12">
        <f>S2!M31</f>
        <v>33.7</v>
      </c>
      <c r="O25" s="12">
        <f>S2!N31</f>
        <v>28.7</v>
      </c>
      <c r="P25" s="12">
        <f>S2!O31</f>
        <v>23.7</v>
      </c>
      <c r="Q25" s="12">
        <f>S2!P31</f>
        <v>18.7</v>
      </c>
      <c r="R25" s="12">
        <f>S2!Q31</f>
        <v>13.7</v>
      </c>
      <c r="S25" s="12">
        <f>S2!R31</f>
        <v>8.7</v>
      </c>
    </row>
    <row r="26">
      <c r="A26" s="6" t="inlineStr">
        <is>
          <t>S3 基本＋エーステイスト</t>
        </is>
      </c>
      <c r="D26" s="12">
        <f>S3!C31</f>
        <v>329.3</v>
      </c>
      <c r="E26" s="12">
        <f>S3!D31</f>
        <v>302.45</v>
      </c>
      <c r="F26" s="12">
        <f>S3!E31</f>
        <v>230.95</v>
      </c>
      <c r="G26" s="12">
        <f>S3!F31</f>
        <v>142.2</v>
      </c>
      <c r="H26" s="12">
        <f>S3!G31</f>
        <v>137.2</v>
      </c>
      <c r="I26" s="12">
        <f>S3!H31</f>
        <v>132.2</v>
      </c>
      <c r="J26" s="12">
        <f>S3!I31</f>
        <v>115.2</v>
      </c>
      <c r="K26" s="12">
        <f>S3!J31</f>
        <v>110.2</v>
      </c>
      <c r="L26" s="12">
        <f>S3!K31</f>
        <v>105.2</v>
      </c>
      <c r="M26" s="12">
        <f>S3!L31</f>
        <v>100.2</v>
      </c>
      <c r="N26" s="12">
        <f>S3!M31</f>
        <v>95.2</v>
      </c>
      <c r="O26" s="12">
        <f>S3!N31</f>
        <v>90.2</v>
      </c>
      <c r="P26" s="12">
        <f>S3!O31</f>
        <v>85.2</v>
      </c>
      <c r="Q26" s="12">
        <f>S3!P31</f>
        <v>80.2</v>
      </c>
      <c r="R26" s="12">
        <f>S3!Q31</f>
        <v>75.2</v>
      </c>
      <c r="S26" s="12">
        <f>S3!R31</f>
        <v>70.2</v>
      </c>
    </row>
    <row r="27">
      <c r="A27" s="6" t="inlineStr">
        <is>
          <t>S4 基本＋ワイズ＋エース</t>
        </is>
      </c>
      <c r="D27" s="12">
        <f>S4!C31</f>
        <v>329.3</v>
      </c>
      <c r="E27" s="12">
        <f>S4!D31</f>
        <v>293.75</v>
      </c>
      <c r="F27" s="12">
        <f>S4!E31</f>
        <v>94.95</v>
      </c>
      <c r="G27" s="12">
        <f>S4!F31</f>
        <v>6.2</v>
      </c>
      <c r="H27" s="12">
        <f>S4!G31</f>
        <v>1.2</v>
      </c>
      <c r="I27" s="12">
        <f>S4!H31</f>
        <v>-3.8</v>
      </c>
      <c r="J27" s="12">
        <f>S4!I31</f>
        <v>-20.8</v>
      </c>
      <c r="K27" s="12">
        <f>S4!J31</f>
        <v>-25.8</v>
      </c>
      <c r="L27" s="12">
        <f>S4!K31</f>
        <v>-30.8</v>
      </c>
      <c r="M27" s="12">
        <f>S4!L31</f>
        <v>-35.8</v>
      </c>
      <c r="N27" s="12">
        <f>S4!M31</f>
        <v>-40.8</v>
      </c>
      <c r="O27" s="12">
        <f>S4!N31</f>
        <v>-45.8</v>
      </c>
      <c r="P27" s="12">
        <f>S4!O31</f>
        <v>-50.8</v>
      </c>
      <c r="Q27" s="12">
        <f>S4!P31</f>
        <v>-55.8</v>
      </c>
      <c r="R27" s="12">
        <f>S4!Q31</f>
        <v>-60.8</v>
      </c>
      <c r="S27" s="12">
        <f>S4!R31</f>
        <v>-65.8</v>
      </c>
    </row>
    <row r="28">
      <c r="A28" s="6" t="inlineStr">
        <is>
          <t>S5 全件（＋日本経営C＋セレサ）</t>
        </is>
      </c>
      <c r="D28" s="12">
        <f>S5!C31</f>
        <v>329.3</v>
      </c>
      <c r="E28" s="12">
        <f>S5!D31</f>
        <v>293.75</v>
      </c>
      <c r="F28" s="12">
        <f>S5!E31</f>
        <v>94.95</v>
      </c>
      <c r="G28" s="12">
        <f>S5!F31</f>
        <v>1.45</v>
      </c>
      <c r="H28" s="12">
        <f>S5!G31</f>
        <v>-91.3</v>
      </c>
      <c r="I28" s="12">
        <f>S5!H31</f>
        <v>-98.4</v>
      </c>
      <c r="J28" s="12">
        <f>S5!I31</f>
        <v>-170.9</v>
      </c>
      <c r="K28" s="12">
        <f>S5!J31</f>
        <v>-175.9</v>
      </c>
      <c r="L28" s="12">
        <f>S5!K31</f>
        <v>-180.9</v>
      </c>
      <c r="M28" s="12">
        <f>S5!L31</f>
        <v>-185.9</v>
      </c>
      <c r="N28" s="12">
        <f>S5!M31</f>
        <v>-190.9</v>
      </c>
      <c r="O28" s="12">
        <f>S5!N31</f>
        <v>-195.9</v>
      </c>
      <c r="P28" s="12">
        <f>S5!O31</f>
        <v>-200.9</v>
      </c>
      <c r="Q28" s="12">
        <f>S5!P31</f>
        <v>-205.9</v>
      </c>
      <c r="R28" s="12">
        <f>S5!Q31</f>
        <v>-210.9</v>
      </c>
      <c r="S28" s="12">
        <f>S5!R31</f>
        <v>-215.9</v>
      </c>
    </row>
    <row r="29">
      <c r="A29" s="6" t="inlineStr">
        <is>
          <t>S6 全件＋シルバーメディカル</t>
        </is>
      </c>
      <c r="D29" s="12">
        <f>S6!C31</f>
        <v>329.3</v>
      </c>
      <c r="E29" s="12">
        <f>S6!D31</f>
        <v>292.65</v>
      </c>
      <c r="F29" s="12">
        <f>S6!E31</f>
        <v>88.85</v>
      </c>
      <c r="G29" s="12">
        <f>S6!F31</f>
        <v>-118.65</v>
      </c>
      <c r="H29" s="12">
        <f>S6!G31</f>
        <v>-211.4</v>
      </c>
      <c r="I29" s="12">
        <f>S6!H31</f>
        <v>-218.5</v>
      </c>
      <c r="J29" s="12">
        <f>S6!I31</f>
        <v>-291.0</v>
      </c>
      <c r="K29" s="12">
        <f>S6!J31</f>
        <v>-296.0</v>
      </c>
      <c r="L29" s="12">
        <f>S6!K31</f>
        <v>-301.0</v>
      </c>
      <c r="M29" s="12">
        <f>S6!L31</f>
        <v>-306.0</v>
      </c>
      <c r="N29" s="12">
        <f>S6!M31</f>
        <v>-311.0</v>
      </c>
      <c r="O29" s="12">
        <f>S6!N31</f>
        <v>-316.0</v>
      </c>
      <c r="P29" s="12">
        <f>S6!O31</f>
        <v>-321.0</v>
      </c>
      <c r="Q29" s="12">
        <f>S6!P31</f>
        <v>-326.0</v>
      </c>
      <c r="R29" s="12">
        <f>S6!Q31</f>
        <v>-331.0</v>
      </c>
      <c r="S29" s="12">
        <f>S6!R31</f>
        <v>-336.0</v>
      </c>
    </row>
    <row r="30">
      <c r="A30" s="6" t="inlineStr">
        <is>
          <t>安全水準</t>
        </is>
      </c>
      <c r="D30" s="12">
        <f>前提!$B$4</f>
        <v>100.0</v>
      </c>
      <c r="E30" s="12">
        <f>前提!$B$4</f>
        <v>100.0</v>
      </c>
      <c r="F30" s="12">
        <f>前提!$B$4</f>
        <v>100.0</v>
      </c>
      <c r="G30" s="12">
        <f>前提!$B$4</f>
        <v>100.0</v>
      </c>
      <c r="H30" s="12">
        <f>前提!$B$4</f>
        <v>100.0</v>
      </c>
      <c r="I30" s="12">
        <f>前提!$B$4</f>
        <v>100.0</v>
      </c>
      <c r="J30" s="12">
        <f>前提!$B$4</f>
        <v>100.0</v>
      </c>
      <c r="K30" s="12">
        <f>前提!$B$4</f>
        <v>100.0</v>
      </c>
      <c r="L30" s="12">
        <f>前提!$B$4</f>
        <v>100.0</v>
      </c>
      <c r="M30" s="12">
        <f>前提!$B$4</f>
        <v>100.0</v>
      </c>
      <c r="N30" s="12">
        <f>前提!$B$4</f>
        <v>100.0</v>
      </c>
      <c r="O30" s="12">
        <f>前提!$B$4</f>
        <v>100.0</v>
      </c>
      <c r="P30" s="12">
        <f>前提!$B$4</f>
        <v>100.0</v>
      </c>
      <c r="Q30" s="12">
        <f>前提!$B$4</f>
        <v>100.0</v>
      </c>
      <c r="R30" s="12">
        <f>前提!$B$4</f>
        <v>100.0</v>
      </c>
      <c r="S30" s="12">
        <f>前提!$B$4</f>
        <v>100.0</v>
      </c>
    </row>
    <row r="32">
      <c r="A32" s="4" t="inlineStr">
        <is>
          <t>必要調達額（累計不足額）の月次推移</t>
        </is>
      </c>
    </row>
    <row r="33">
      <c r="A33" s="3" t="inlineStr">
        <is>
          <t>シナリオ</t>
        </is>
      </c>
      <c r="B33" s="3" t="inlineStr"/>
      <c r="C33" s="3" t="inlineStr"/>
      <c r="D33" s="3" t="inlineStr">
        <is>
          <t>2026/9</t>
        </is>
      </c>
      <c r="E33" s="3" t="inlineStr">
        <is>
          <t>2026/10</t>
        </is>
      </c>
      <c r="F33" s="3" t="inlineStr">
        <is>
          <t>2026/11</t>
        </is>
      </c>
      <c r="G33" s="3" t="inlineStr">
        <is>
          <t>2026/12</t>
        </is>
      </c>
      <c r="H33" s="3" t="inlineStr">
        <is>
          <t>2027/1</t>
        </is>
      </c>
      <c r="I33" s="3" t="inlineStr">
        <is>
          <t>2027/2</t>
        </is>
      </c>
      <c r="J33" s="3" t="inlineStr">
        <is>
          <t>2027/3</t>
        </is>
      </c>
      <c r="K33" s="3" t="inlineStr">
        <is>
          <t>2027/4</t>
        </is>
      </c>
      <c r="L33" s="3" t="inlineStr">
        <is>
          <t>2027/5</t>
        </is>
      </c>
      <c r="M33" s="3" t="inlineStr">
        <is>
          <t>2027/6</t>
        </is>
      </c>
      <c r="N33" s="3" t="inlineStr">
        <is>
          <t>2027/7</t>
        </is>
      </c>
      <c r="O33" s="3" t="inlineStr">
        <is>
          <t>2027/8</t>
        </is>
      </c>
      <c r="P33" s="3" t="inlineStr">
        <is>
          <t>2027/9</t>
        </is>
      </c>
      <c r="Q33" s="3" t="inlineStr">
        <is>
          <t>2027/10</t>
        </is>
      </c>
      <c r="R33" s="3" t="inlineStr">
        <is>
          <t>2027/11</t>
        </is>
      </c>
      <c r="S33" s="3" t="inlineStr">
        <is>
          <t>2027/12</t>
        </is>
      </c>
    </row>
    <row r="34">
      <c r="A34" s="6" t="inlineStr">
        <is>
          <t>S1 基本（確定4件）</t>
        </is>
      </c>
      <c r="D34" s="12">
        <f>S1!C33</f>
        <v>0</v>
      </c>
      <c r="E34" s="12">
        <f>S1!D33</f>
        <v>0</v>
      </c>
      <c r="F34" s="12">
        <f>S1!E33</f>
        <v>0</v>
      </c>
      <c r="G34" s="12">
        <f>S1!F33</f>
        <v>0</v>
      </c>
      <c r="H34" s="12">
        <f>S1!G33</f>
        <v>0</v>
      </c>
      <c r="I34" s="12">
        <f>S1!H33</f>
        <v>0</v>
      </c>
      <c r="J34" s="12">
        <f>S1!I33</f>
        <v>0</v>
      </c>
      <c r="K34" s="12">
        <f>S1!J33</f>
        <v>0</v>
      </c>
      <c r="L34" s="12">
        <f>S1!K33</f>
        <v>0</v>
      </c>
      <c r="M34" s="12">
        <f>S1!L33</f>
        <v>0</v>
      </c>
      <c r="N34" s="12">
        <f>S1!M33</f>
        <v>0</v>
      </c>
      <c r="O34" s="12">
        <f>S1!N33</f>
        <v>0</v>
      </c>
      <c r="P34" s="12">
        <f>S1!O33</f>
        <v>0</v>
      </c>
      <c r="Q34" s="12">
        <f>S1!P33</f>
        <v>0</v>
      </c>
      <c r="R34" s="12">
        <f>S1!Q33</f>
        <v>0</v>
      </c>
      <c r="S34" s="12">
        <f>S1!R33</f>
        <v>0</v>
      </c>
    </row>
    <row r="35">
      <c r="A35" s="6" t="inlineStr">
        <is>
          <t>S2 基本＋ワイズケア</t>
        </is>
      </c>
      <c r="D35" s="12">
        <f>S2!C33</f>
        <v>0</v>
      </c>
      <c r="E35" s="12">
        <f>S2!D33</f>
        <v>0</v>
      </c>
      <c r="F35" s="12">
        <f>S2!E33</f>
        <v>0.3</v>
      </c>
      <c r="G35" s="12">
        <f>S2!F33</f>
        <v>19.3</v>
      </c>
      <c r="H35" s="12">
        <f>S2!G33</f>
        <v>24.3</v>
      </c>
      <c r="I35" s="12">
        <f>S2!H33</f>
        <v>29.3</v>
      </c>
      <c r="J35" s="12">
        <f>S2!I33</f>
        <v>46.3</v>
      </c>
      <c r="K35" s="12">
        <f>S2!J33</f>
        <v>51.3</v>
      </c>
      <c r="L35" s="12">
        <f>S2!K33</f>
        <v>56.3</v>
      </c>
      <c r="M35" s="12">
        <f>S2!L33</f>
        <v>61.3</v>
      </c>
      <c r="N35" s="12">
        <f>S2!M33</f>
        <v>66.3</v>
      </c>
      <c r="O35" s="12">
        <f>S2!N33</f>
        <v>71.3</v>
      </c>
      <c r="P35" s="12">
        <f>S2!O33</f>
        <v>76.3</v>
      </c>
      <c r="Q35" s="12">
        <f>S2!P33</f>
        <v>81.3</v>
      </c>
      <c r="R35" s="12">
        <f>S2!Q33</f>
        <v>86.3</v>
      </c>
      <c r="S35" s="12">
        <f>S2!R33</f>
        <v>91.3</v>
      </c>
    </row>
    <row r="36">
      <c r="A36" s="6" t="inlineStr">
        <is>
          <t>S3 基本＋エーステイスト</t>
        </is>
      </c>
      <c r="D36" s="12">
        <f>S3!C33</f>
        <v>0</v>
      </c>
      <c r="E36" s="12">
        <f>S3!D33</f>
        <v>0</v>
      </c>
      <c r="F36" s="12">
        <f>S3!E33</f>
        <v>0</v>
      </c>
      <c r="G36" s="12">
        <f>S3!F33</f>
        <v>0</v>
      </c>
      <c r="H36" s="12">
        <f>S3!G33</f>
        <v>0</v>
      </c>
      <c r="I36" s="12">
        <f>S3!H33</f>
        <v>0</v>
      </c>
      <c r="J36" s="12">
        <f>S3!I33</f>
        <v>0</v>
      </c>
      <c r="K36" s="12">
        <f>S3!J33</f>
        <v>0</v>
      </c>
      <c r="L36" s="12">
        <f>S3!K33</f>
        <v>0</v>
      </c>
      <c r="M36" s="12">
        <f>S3!L33</f>
        <v>0</v>
      </c>
      <c r="N36" s="12">
        <f>S3!M33</f>
        <v>4.8</v>
      </c>
      <c r="O36" s="12">
        <f>S3!N33</f>
        <v>9.8</v>
      </c>
      <c r="P36" s="12">
        <f>S3!O33</f>
        <v>14.8</v>
      </c>
      <c r="Q36" s="12">
        <f>S3!P33</f>
        <v>19.8</v>
      </c>
      <c r="R36" s="12">
        <f>S3!Q33</f>
        <v>24.8</v>
      </c>
      <c r="S36" s="12">
        <f>S3!R33</f>
        <v>29.8</v>
      </c>
    </row>
    <row r="37">
      <c r="A37" s="6" t="inlineStr">
        <is>
          <t>S4 基本＋ワイズ＋エース</t>
        </is>
      </c>
      <c r="D37" s="12">
        <f>S4!C33</f>
        <v>0</v>
      </c>
      <c r="E37" s="12">
        <f>S4!D33</f>
        <v>0</v>
      </c>
      <c r="F37" s="12">
        <f>S4!E33</f>
        <v>5.05</v>
      </c>
      <c r="G37" s="12">
        <f>S4!F33</f>
        <v>93.8</v>
      </c>
      <c r="H37" s="12">
        <f>S4!G33</f>
        <v>98.8</v>
      </c>
      <c r="I37" s="12">
        <f>S4!H33</f>
        <v>103.8</v>
      </c>
      <c r="J37" s="12">
        <f>S4!I33</f>
        <v>120.8</v>
      </c>
      <c r="K37" s="12">
        <f>S4!J33</f>
        <v>125.8</v>
      </c>
      <c r="L37" s="12">
        <f>S4!K33</f>
        <v>130.8</v>
      </c>
      <c r="M37" s="12">
        <f>S4!L33</f>
        <v>135.8</v>
      </c>
      <c r="N37" s="12">
        <f>S4!M33</f>
        <v>140.8</v>
      </c>
      <c r="O37" s="12">
        <f>S4!N33</f>
        <v>145.8</v>
      </c>
      <c r="P37" s="12">
        <f>S4!O33</f>
        <v>150.8</v>
      </c>
      <c r="Q37" s="12">
        <f>S4!P33</f>
        <v>155.8</v>
      </c>
      <c r="R37" s="12">
        <f>S4!Q33</f>
        <v>160.8</v>
      </c>
      <c r="S37" s="12">
        <f>S4!R33</f>
        <v>165.8</v>
      </c>
    </row>
    <row r="38">
      <c r="A38" s="6" t="inlineStr">
        <is>
          <t>S5 全件（＋日本経営C＋セレサ）</t>
        </is>
      </c>
      <c r="D38" s="12">
        <f>S5!C33</f>
        <v>0</v>
      </c>
      <c r="E38" s="12">
        <f>S5!D33</f>
        <v>0</v>
      </c>
      <c r="F38" s="12">
        <f>S5!E33</f>
        <v>5.05</v>
      </c>
      <c r="G38" s="12">
        <f>S5!F33</f>
        <v>98.55</v>
      </c>
      <c r="H38" s="12">
        <f>S5!G33</f>
        <v>191.3</v>
      </c>
      <c r="I38" s="12">
        <f>S5!H33</f>
        <v>198.4</v>
      </c>
      <c r="J38" s="12">
        <f>S5!I33</f>
        <v>270.9</v>
      </c>
      <c r="K38" s="12">
        <f>S5!J33</f>
        <v>275.9</v>
      </c>
      <c r="L38" s="12">
        <f>S5!K33</f>
        <v>280.9</v>
      </c>
      <c r="M38" s="12">
        <f>S5!L33</f>
        <v>285.9</v>
      </c>
      <c r="N38" s="12">
        <f>S5!M33</f>
        <v>290.9</v>
      </c>
      <c r="O38" s="12">
        <f>S5!N33</f>
        <v>295.9</v>
      </c>
      <c r="P38" s="12">
        <f>S5!O33</f>
        <v>300.9</v>
      </c>
      <c r="Q38" s="12">
        <f>S5!P33</f>
        <v>305.9</v>
      </c>
      <c r="R38" s="12">
        <f>S5!Q33</f>
        <v>310.9</v>
      </c>
      <c r="S38" s="12">
        <f>S5!R33</f>
        <v>315.9</v>
      </c>
    </row>
    <row r="39">
      <c r="A39" s="6" t="inlineStr">
        <is>
          <t>S6 全件＋シルバーメディカル</t>
        </is>
      </c>
      <c r="D39" s="12">
        <f>S6!C33</f>
        <v>0</v>
      </c>
      <c r="E39" s="12">
        <f>S6!D33</f>
        <v>0</v>
      </c>
      <c r="F39" s="12">
        <f>S6!E33</f>
        <v>11.15</v>
      </c>
      <c r="G39" s="12">
        <f>S6!F33</f>
        <v>218.65</v>
      </c>
      <c r="H39" s="12">
        <f>S6!G33</f>
        <v>311.4</v>
      </c>
      <c r="I39" s="12">
        <f>S6!H33</f>
        <v>318.5</v>
      </c>
      <c r="J39" s="12">
        <f>S6!I33</f>
        <v>391.0</v>
      </c>
      <c r="K39" s="12">
        <f>S6!J33</f>
        <v>396.0</v>
      </c>
      <c r="L39" s="12">
        <f>S6!K33</f>
        <v>401.0</v>
      </c>
      <c r="M39" s="12">
        <f>S6!L33</f>
        <v>406.0</v>
      </c>
      <c r="N39" s="12">
        <f>S6!M33</f>
        <v>411.0</v>
      </c>
      <c r="O39" s="12">
        <f>S6!N33</f>
        <v>416.0</v>
      </c>
      <c r="P39" s="12">
        <f>S6!O33</f>
        <v>421.0</v>
      </c>
      <c r="Q39" s="12">
        <f>S6!P33</f>
        <v>426.0</v>
      </c>
      <c r="R39" s="12">
        <f>S6!Q33</f>
        <v>431.0</v>
      </c>
      <c r="S39" s="12">
        <f>S6!R33</f>
        <v>436.0</v>
      </c>
    </row>
    <row r="62">
      <c r="A62" s="4" t="inlineStr">
        <is>
          <t>売上36億円への道筋 — 戦略別モンテカルロ結果（2万回・手出し最小化ベース・値貼付。詳細はHTML資料 第8章）</t>
        </is>
      </c>
    </row>
    <row r="63">
      <c r="A63" s="3" t="inlineStr">
        <is>
          <t>戦略</t>
        </is>
      </c>
      <c r="B63" s="3" t="inlineStr">
        <is>
          <t>追う案件数</t>
        </is>
      </c>
      <c r="C63" s="3" t="inlineStr">
        <is>
          <t>36億円到達確率（2027/12）</t>
        </is>
      </c>
      <c r="D63" s="3" t="inlineStr">
        <is>
          <t>期待売上（年換算）</t>
        </is>
      </c>
      <c r="E63" s="3" t="inlineStr">
        <is>
          <t>売上P50</t>
        </is>
      </c>
      <c r="F63" s="3" t="inlineStr">
        <is>
          <t>売上P80</t>
        </is>
      </c>
      <c r="G63" s="3" t="inlineStr">
        <is>
          <t>必要資金P50</t>
        </is>
      </c>
      <c r="H63" s="3" t="inlineStr">
        <is>
          <t>必要資金P80</t>
        </is>
      </c>
      <c r="I63" s="3" t="inlineStr">
        <is>
          <t>到達時の必要資金（中央値）</t>
        </is>
      </c>
      <c r="J63" s="3" t="inlineStr">
        <is>
          <t>全件成約時の売上</t>
        </is>
      </c>
    </row>
    <row r="64">
      <c r="A64" s="6" t="inlineStr">
        <is>
          <t>A 中型積み上げ（大型なし）</t>
        </is>
      </c>
      <c r="B64" s="11" t="n">
        <v>11</v>
      </c>
      <c r="C64" s="13" t="n">
        <v>0.008999999999999999</v>
      </c>
      <c r="D64" s="10" t="n">
        <v>2561</v>
      </c>
      <c r="E64" s="10" t="n">
        <v>2576</v>
      </c>
      <c r="F64" s="10" t="n">
        <v>2968</v>
      </c>
      <c r="G64" s="10" t="n">
        <v>350</v>
      </c>
      <c r="H64" s="10" t="n">
        <v>458</v>
      </c>
      <c r="I64" s="10" t="n">
        <v>633</v>
      </c>
      <c r="J64" s="10" t="n">
        <v>3823</v>
      </c>
    </row>
    <row r="65">
      <c r="A65" s="6" t="inlineStr">
        <is>
          <t>B 中型＋シルバーメディカル</t>
        </is>
      </c>
      <c r="B65" s="11" t="n">
        <v>11</v>
      </c>
      <c r="C65" s="13" t="n">
        <v>0.168</v>
      </c>
      <c r="D65" s="10" t="n">
        <v>3012</v>
      </c>
      <c r="E65" s="10" t="n">
        <v>3025</v>
      </c>
      <c r="F65" s="10" t="n">
        <v>3516</v>
      </c>
      <c r="G65" s="10" t="n">
        <v>420</v>
      </c>
      <c r="H65" s="10" t="n">
        <v>541</v>
      </c>
      <c r="I65" s="10" t="n">
        <v>612</v>
      </c>
      <c r="J65" s="10" t="n">
        <v>4530</v>
      </c>
    </row>
    <row r="66">
      <c r="A66" s="6" t="inlineStr">
        <is>
          <t>C 中型＋大型2件（シルバー＋プラスディー）</t>
        </is>
      </c>
      <c r="B66" s="11" t="n">
        <v>9</v>
      </c>
      <c r="C66" s="13" t="n">
        <v>0.28</v>
      </c>
      <c r="D66" s="10" t="n">
        <v>3166</v>
      </c>
      <c r="E66" s="10" t="n">
        <v>3060</v>
      </c>
      <c r="F66" s="10" t="n">
        <v>3908</v>
      </c>
      <c r="G66" s="10" t="n">
        <v>458</v>
      </c>
      <c r="H66" s="10" t="n">
        <v>696</v>
      </c>
      <c r="I66" s="10" t="n">
        <v>754</v>
      </c>
      <c r="J66" s="10" t="n">
        <v>5225</v>
      </c>
    </row>
    <row r="67">
      <c r="A67" s="6" t="inlineStr">
        <is>
          <t>D 中型＋ヒナ資本提携＋ライブアシスト</t>
        </is>
      </c>
      <c r="B67" s="11" t="n">
        <v>10</v>
      </c>
      <c r="C67" s="13" t="n">
        <v>0.159</v>
      </c>
      <c r="D67" s="10" t="n">
        <v>2886</v>
      </c>
      <c r="E67" s="10" t="n">
        <v>2772</v>
      </c>
      <c r="F67" s="10" t="n">
        <v>3462</v>
      </c>
      <c r="G67" s="10" t="n">
        <v>417</v>
      </c>
      <c r="H67" s="10" t="n">
        <v>562</v>
      </c>
      <c r="I67" s="10" t="n">
        <v>663</v>
      </c>
      <c r="J67" s="10" t="n">
        <v>5280</v>
      </c>
    </row>
    <row r="68">
      <c r="A68" s="6" t="inlineStr">
        <is>
          <t>F 中型＋大型3件（シルバー＋プラスディー＋ヒナ）＋ライブアシスト</t>
        </is>
      </c>
      <c r="B68" s="11" t="n">
        <v>14</v>
      </c>
      <c r="C68" s="13" t="n">
        <v>0.551</v>
      </c>
      <c r="D68" s="10" t="n">
        <v>3849</v>
      </c>
      <c r="E68" s="10" t="n">
        <v>3754</v>
      </c>
      <c r="F68" s="10" t="n">
        <v>4758</v>
      </c>
      <c r="G68" s="10" t="n">
        <v>597</v>
      </c>
      <c r="H68" s="10" t="n">
        <v>838</v>
      </c>
      <c r="I68" s="10" t="n">
        <v>767</v>
      </c>
      <c r="J68" s="10" t="n">
        <v>7686</v>
      </c>
    </row>
    <row r="69">
      <c r="A69" s="6" t="inlineStr">
        <is>
          <t>E 全方位（LOI以上＋本格検討すべて）</t>
        </is>
      </c>
      <c r="B69" s="11" t="n">
        <v>22</v>
      </c>
      <c r="C69" s="13" t="n">
        <v>0.644</v>
      </c>
      <c r="D69" s="10" t="n">
        <v>4084</v>
      </c>
      <c r="E69" s="10" t="n">
        <v>3992</v>
      </c>
      <c r="F69" s="10" t="n">
        <v>4999</v>
      </c>
      <c r="G69" s="10" t="n">
        <v>775</v>
      </c>
      <c r="H69" s="10" t="n">
        <v>1047</v>
      </c>
      <c r="I69" s="10" t="n">
        <v>918</v>
      </c>
      <c r="J69" s="10" t="n">
        <v>9210</v>
      </c>
    </row>
    <row r="70">
      <c r="A70" s="2" t="inlineStr">
        <is>
          <t>期限を2028/6に延ばした場合（戦略F）：到達確率 84%、必要資金P50 763</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LOI口頭合意（9/12）・基本合意9月中</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305.2</v>
      </c>
      <c r="F18" s="20">
        <f>E31</f>
        <v>235.7</v>
      </c>
      <c r="G18" s="20">
        <f>F31</f>
        <v>216.7</v>
      </c>
      <c r="H18" s="20">
        <f>G31</f>
        <v>211.7</v>
      </c>
      <c r="I18" s="20">
        <f>H31</f>
        <v>206.7</v>
      </c>
      <c r="J18" s="20">
        <f>I31</f>
        <v>189.7</v>
      </c>
      <c r="K18" s="20">
        <f>J31</f>
        <v>184.7</v>
      </c>
      <c r="L18" s="20">
        <f>K31</f>
        <v>179.7</v>
      </c>
      <c r="M18" s="20">
        <f>L31</f>
        <v>174.7</v>
      </c>
      <c r="N18" s="20">
        <f>M31</f>
        <v>169.7</v>
      </c>
      <c r="O18" s="20">
        <f>N31</f>
        <v>164.7</v>
      </c>
      <c r="P18" s="20">
        <f>O31</f>
        <v>159.7</v>
      </c>
      <c r="Q18" s="20">
        <f>P31</f>
        <v>154.7</v>
      </c>
      <c r="R18" s="20">
        <f>Q31</f>
        <v>149.7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-17.1</v>
      </c>
      <c r="E30" s="20">
        <f>SUM(E21:E29)</f>
        <v>-62.5</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-133.6</v>
      </c>
    </row>
    <row r="31">
      <c r="A31" s="4" t="inlineStr">
        <is>
          <t>期末現預金</t>
        </is>
      </c>
      <c r="C31" s="21">
        <f>C18+C19+C30</f>
        <v>329.3</v>
      </c>
      <c r="D31" s="21">
        <f>D18+D19+D30</f>
        <v>305.2</v>
      </c>
      <c r="E31" s="21">
        <f>E18+E19+E30</f>
        <v>235.7</v>
      </c>
      <c r="F31" s="21">
        <f>F18+F19+F30</f>
        <v>216.7</v>
      </c>
      <c r="G31" s="21">
        <f>G18+G19+G30</f>
        <v>211.7</v>
      </c>
      <c r="H31" s="21">
        <f>H18+H19+H30</f>
        <v>206.7</v>
      </c>
      <c r="I31" s="21">
        <f>I18+I19+I30</f>
        <v>189.7</v>
      </c>
      <c r="J31" s="21">
        <f>J18+J19+J30</f>
        <v>184.7</v>
      </c>
      <c r="K31" s="21">
        <f>K18+K19+K30</f>
        <v>179.7</v>
      </c>
      <c r="L31" s="21">
        <f>L18+L19+L30</f>
        <v>174.7</v>
      </c>
      <c r="M31" s="21">
        <f>M18+M19+M30</f>
        <v>169.7</v>
      </c>
      <c r="N31" s="21">
        <f>N18+N19+N30</f>
        <v>164.7</v>
      </c>
      <c r="O31" s="21">
        <f>O18+O19+O30</f>
        <v>159.7</v>
      </c>
      <c r="P31" s="21">
        <f>P18+P19+P30</f>
        <v>154.7</v>
      </c>
      <c r="Q31" s="21">
        <f>Q18+Q19+Q30</f>
        <v>149.7</v>
      </c>
      <c r="R31" s="21">
        <f>R18+R19+R30</f>
        <v>144.7</v>
      </c>
      <c r="S31" s="21" t="n"/>
    </row>
    <row r="32">
      <c r="A32" s="6" t="inlineStr">
        <is>
          <t>安全水準との差</t>
        </is>
      </c>
      <c r="C32" s="23">
        <f>C31-前提!$B$4</f>
        <v>229.3</v>
      </c>
      <c r="D32" s="23">
        <f>D31-前提!$B$4</f>
        <v>205.2</v>
      </c>
      <c r="E32" s="23">
        <f>E31-前提!$B$4</f>
        <v>135.7</v>
      </c>
      <c r="F32" s="23">
        <f>F31-前提!$B$4</f>
        <v>116.7</v>
      </c>
      <c r="G32" s="23">
        <f>G31-前提!$B$4</f>
        <v>111.7</v>
      </c>
      <c r="H32" s="23">
        <f>H31-前提!$B$4</f>
        <v>106.7</v>
      </c>
      <c r="I32" s="23">
        <f>I31-前提!$B$4</f>
        <v>89.7</v>
      </c>
      <c r="J32" s="23">
        <f>J31-前提!$B$4</f>
        <v>84.7</v>
      </c>
      <c r="K32" s="23">
        <f>K31-前提!$B$4</f>
        <v>79.7</v>
      </c>
      <c r="L32" s="23">
        <f>L31-前提!$B$4</f>
        <v>74.7</v>
      </c>
      <c r="M32" s="23">
        <f>M31-前提!$B$4</f>
        <v>69.7</v>
      </c>
      <c r="N32" s="23">
        <f>N31-前提!$B$4</f>
        <v>64.7</v>
      </c>
      <c r="O32" s="23">
        <f>O31-前提!$B$4</f>
        <v>59.7</v>
      </c>
      <c r="P32" s="23">
        <f>P31-前提!$B$4</f>
        <v>54.7</v>
      </c>
      <c r="Q32" s="23">
        <f>Q31-前提!$B$4</f>
        <v>49.7</v>
      </c>
      <c r="R32" s="23">
        <f>R31-前提!$B$4</f>
        <v>44.7</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0</v>
      </c>
      <c r="N33" s="24">
        <f>MAX(0,前提!$B$4-N31)</f>
        <v>0</v>
      </c>
      <c r="O33" s="24">
        <f>MAX(0,前提!$B$4-O31)</f>
        <v>0</v>
      </c>
      <c r="P33" s="24">
        <f>MAX(0,前提!$B$4-P31)</f>
        <v>0</v>
      </c>
      <c r="Q33" s="24">
        <f>MAX(0,前提!$B$4-Q31)</f>
        <v>0</v>
      </c>
      <c r="R33" s="24">
        <f>MAX(0,前提!$B$4-R31)</f>
        <v>0</v>
      </c>
      <c r="S33" s="24" t="n"/>
    </row>
    <row r="34">
      <c r="A34" s="6" t="inlineStr">
        <is>
          <t>累計案件支出</t>
        </is>
      </c>
      <c r="C34" s="23">
        <f>-SUM($C30:C30)</f>
        <v>30.0</v>
      </c>
      <c r="D34" s="23">
        <f>-SUM($C30:D30)</f>
        <v>47.1</v>
      </c>
      <c r="E34" s="23">
        <f>-SUM($C30:E30)</f>
        <v>109.6</v>
      </c>
      <c r="F34" s="23">
        <f>-SUM($C30:F30)</f>
        <v>121.6</v>
      </c>
      <c r="G34" s="23">
        <f>-SUM($C30:G30)</f>
        <v>121.6</v>
      </c>
      <c r="H34" s="23">
        <f>-SUM($C30:H30)</f>
        <v>121.6</v>
      </c>
      <c r="I34" s="23">
        <f>-SUM($C30:I30)</f>
        <v>133.6</v>
      </c>
      <c r="J34" s="23">
        <f>-SUM($C30:J30)</f>
        <v>133.6</v>
      </c>
      <c r="K34" s="23">
        <f>-SUM($C30:K30)</f>
        <v>133.6</v>
      </c>
      <c r="L34" s="23">
        <f>-SUM($C30:L30)</f>
        <v>133.6</v>
      </c>
      <c r="M34" s="23">
        <f>-SUM($C30:M30)</f>
        <v>133.6</v>
      </c>
      <c r="N34" s="23">
        <f>-SUM($C30:N30)</f>
        <v>133.6</v>
      </c>
      <c r="O34" s="23">
        <f>-SUM($C30:O30)</f>
        <v>133.6</v>
      </c>
      <c r="P34" s="23">
        <f>-SUM($C30:P30)</f>
        <v>133.6</v>
      </c>
      <c r="Q34" s="23">
        <f>-SUM($C30:Q30)</f>
        <v>133.6</v>
      </c>
      <c r="R34" s="23">
        <f>-SUM($C30:R30)</f>
        <v>133.6</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0</v>
      </c>
      <c r="N35" s="23">
        <f>IF(N31&lt;前提!$B$4,1,0)</f>
        <v>0</v>
      </c>
      <c r="O35" s="23">
        <f>IF(O31&lt;前提!$B$4,1,0)</f>
        <v>0</v>
      </c>
      <c r="P35" s="23">
        <f>IF(P31&lt;前提!$B$4,1,0)</f>
        <v>0</v>
      </c>
      <c r="Q35" s="23">
        <f>IF(Q31&lt;前提!$B$4,1,0)</f>
        <v>0</v>
      </c>
      <c r="R35" s="23">
        <f>IF(R31&lt;前提!$B$4,1,0)</f>
        <v>0</v>
      </c>
      <c r="S35" s="23" t="n"/>
    </row>
    <row r="38">
      <c r="A38" s="4" t="inlineStr">
        <is>
          <t>サマリー指標</t>
        </is>
      </c>
    </row>
    <row r="39">
      <c r="A39" s="6" t="inlineStr">
        <is>
          <t>総支出（案件・16ヶ月）</t>
        </is>
      </c>
      <c r="B39" s="20">
        <f>-S30</f>
        <v>133.6</v>
      </c>
    </row>
    <row r="40">
      <c r="A40" s="6" t="inlineStr">
        <is>
          <t>最低残高</t>
        </is>
      </c>
      <c r="B40" s="20">
        <f>MIN(C31:R31)</f>
        <v>144.7</v>
      </c>
    </row>
    <row r="41">
      <c r="A41" s="6" t="inlineStr">
        <is>
          <t>最低残高の月</t>
        </is>
      </c>
      <c r="B41" s="4" t="str">
        <f>INDEX($C$17:$R$17,MATCH(B40,C31:R31,0))</f>
        <v>2027/12</v>
      </c>
    </row>
    <row r="42">
      <c r="A42" s="6" t="inlineStr">
        <is>
          <t>初めて安全水準を割る月</t>
        </is>
      </c>
      <c r="B42" s="4" t="str">
        <f>IFERROR(INDEX($C$17:$R$17,MATCH(1,C35:R35,0)),"—")</f>
        <v>—</v>
      </c>
    </row>
    <row r="43">
      <c r="A43" s="6" t="inlineStr">
        <is>
          <t>必要調達額（2027/12まで）</t>
        </is>
      </c>
      <c r="B43" s="20">
        <f>MAX(C33:R33)</f>
        <v>0</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144.7</v>
      </c>
    </row>
    <row r="48">
      <c r="A48" s="6" t="inlineStr">
        <is>
          <t>年換算売上（オーガニック＋実行案件）</t>
        </is>
      </c>
      <c r="B48" s="25">
        <f>前提!$B$5+SUMPRODUCT($B$6:$B$14,案件一覧!$D$4:$D$12)</f>
        <v>1658</v>
      </c>
    </row>
    <row r="49">
      <c r="A49" s="6" t="inlineStr">
        <is>
          <t>年換算 調整後EBITDA（現状）</t>
        </is>
      </c>
      <c r="B49" s="25">
        <f>前提!$B$6+SUMPRODUCT($B$6:$B$14,案件一覧!$E$4:$E$12)</f>
        <v>104</v>
      </c>
    </row>
    <row r="50">
      <c r="A50" s="6" t="inlineStr">
        <is>
          <t>年換算 調整後EBITDA（改善後）</t>
        </is>
      </c>
      <c r="B50" s="25">
        <f>前提!$B$6+SUMPRODUCT($B$6:$B$14,案件一覧!$F$4:$F$12)</f>
        <v>124</v>
      </c>
    </row>
    <row r="51">
      <c r="A51" s="6" t="inlineStr">
        <is>
          <t>承継・残置負債</t>
        </is>
      </c>
      <c r="B51" s="20">
        <f>SUMPRODUCT($B$6:$B$14,案件一覧!$G$4:$G$12)</f>
        <v>44.85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296.5</v>
      </c>
      <c r="F18" s="20">
        <f>E31</f>
        <v>99.7</v>
      </c>
      <c r="G18" s="20">
        <f>F31</f>
        <v>80.7</v>
      </c>
      <c r="H18" s="20">
        <f>G31</f>
        <v>75.7</v>
      </c>
      <c r="I18" s="20">
        <f>H31</f>
        <v>70.7</v>
      </c>
      <c r="J18" s="20">
        <f>I31</f>
        <v>53.7</v>
      </c>
      <c r="K18" s="20">
        <f>J31</f>
        <v>48.7</v>
      </c>
      <c r="L18" s="20">
        <f>K31</f>
        <v>43.7</v>
      </c>
      <c r="M18" s="20">
        <f>L31</f>
        <v>38.7</v>
      </c>
      <c r="N18" s="20">
        <f>M31</f>
        <v>33.7</v>
      </c>
      <c r="O18" s="20">
        <f>N31</f>
        <v>28.7</v>
      </c>
      <c r="P18" s="20">
        <f>O31</f>
        <v>23.7</v>
      </c>
      <c r="Q18" s="20">
        <f>P31</f>
        <v>18.7</v>
      </c>
      <c r="R18" s="20">
        <f>Q31</f>
        <v>13.7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-25.8</v>
      </c>
      <c r="E30" s="20">
        <f>SUM(E21:E29)</f>
        <v>-189.8</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-269.6</v>
      </c>
    </row>
    <row r="31">
      <c r="A31" s="4" t="inlineStr">
        <is>
          <t>期末現預金</t>
        </is>
      </c>
      <c r="C31" s="21">
        <f>C18+C19+C30</f>
        <v>329.3</v>
      </c>
      <c r="D31" s="21">
        <f>D18+D19+D30</f>
        <v>296.5</v>
      </c>
      <c r="E31" s="21">
        <f>E18+E19+E30</f>
        <v>99.7</v>
      </c>
      <c r="F31" s="21">
        <f>F18+F19+F30</f>
        <v>80.7</v>
      </c>
      <c r="G31" s="21">
        <f>G18+G19+G30</f>
        <v>75.7</v>
      </c>
      <c r="H31" s="21">
        <f>H18+H19+H30</f>
        <v>70.7</v>
      </c>
      <c r="I31" s="21">
        <f>I18+I19+I30</f>
        <v>53.7</v>
      </c>
      <c r="J31" s="21">
        <f>J18+J19+J30</f>
        <v>48.7</v>
      </c>
      <c r="K31" s="21">
        <f>K18+K19+K30</f>
        <v>43.7</v>
      </c>
      <c r="L31" s="21">
        <f>L18+L19+L30</f>
        <v>38.7</v>
      </c>
      <c r="M31" s="21">
        <f>M18+M19+M30</f>
        <v>33.7</v>
      </c>
      <c r="N31" s="21">
        <f>N18+N19+N30</f>
        <v>28.7</v>
      </c>
      <c r="O31" s="21">
        <f>O18+O19+O30</f>
        <v>23.7</v>
      </c>
      <c r="P31" s="21">
        <f>P18+P19+P30</f>
        <v>18.7</v>
      </c>
      <c r="Q31" s="21">
        <f>Q18+Q19+Q30</f>
        <v>13.7</v>
      </c>
      <c r="R31" s="21">
        <f>R18+R19+R30</f>
        <v>8.7</v>
      </c>
      <c r="S31" s="21" t="n"/>
    </row>
    <row r="32">
      <c r="A32" s="6" t="inlineStr">
        <is>
          <t>安全水準との差</t>
        </is>
      </c>
      <c r="C32" s="23">
        <f>C31-前提!$B$4</f>
        <v>229.3</v>
      </c>
      <c r="D32" s="23">
        <f>D31-前提!$B$4</f>
        <v>196.5</v>
      </c>
      <c r="E32" s="23">
        <f>E31-前提!$B$4</f>
        <v>-0.3</v>
      </c>
      <c r="F32" s="23">
        <f>F31-前提!$B$4</f>
        <v>-19.3</v>
      </c>
      <c r="G32" s="23">
        <f>G31-前提!$B$4</f>
        <v>-24.3</v>
      </c>
      <c r="H32" s="23">
        <f>H31-前提!$B$4</f>
        <v>-29.3</v>
      </c>
      <c r="I32" s="23">
        <f>I31-前提!$B$4</f>
        <v>-46.3</v>
      </c>
      <c r="J32" s="23">
        <f>J31-前提!$B$4</f>
        <v>-51.3</v>
      </c>
      <c r="K32" s="23">
        <f>K31-前提!$B$4</f>
        <v>-56.3</v>
      </c>
      <c r="L32" s="23">
        <f>L31-前提!$B$4</f>
        <v>-61.3</v>
      </c>
      <c r="M32" s="23">
        <f>M31-前提!$B$4</f>
        <v>-66.3</v>
      </c>
      <c r="N32" s="23">
        <f>N31-前提!$B$4</f>
        <v>-71.3</v>
      </c>
      <c r="O32" s="23">
        <f>O31-前提!$B$4</f>
        <v>-76.3</v>
      </c>
      <c r="P32" s="23">
        <f>P31-前提!$B$4</f>
        <v>-81.3</v>
      </c>
      <c r="Q32" s="23">
        <f>Q31-前提!$B$4</f>
        <v>-86.3</v>
      </c>
      <c r="R32" s="23">
        <f>R31-前提!$B$4</f>
        <v>-91.3</v>
      </c>
      <c r="S32" s="23" t="n"/>
    </row>
    <row r="33">
      <c r="A33" s="4" t="inlineStr">
        <is>
          <t>必要調達額（安全水準を維持するための不足額）</t>
        </is>
      </c>
      <c r="C33" s="24">
        <f>MAX(0,前提!$B$4-C31)</f>
        <v>0</v>
      </c>
      <c r="D33" s="24">
        <f>MAX(0,前提!$B$4-D31)</f>
        <v>0</v>
      </c>
      <c r="E33" s="24">
        <f>MAX(0,前提!$B$4-E31)</f>
        <v>0.3</v>
      </c>
      <c r="F33" s="24">
        <f>MAX(0,前提!$B$4-F31)</f>
        <v>19.3</v>
      </c>
      <c r="G33" s="24">
        <f>MAX(0,前提!$B$4-G31)</f>
        <v>24.3</v>
      </c>
      <c r="H33" s="24">
        <f>MAX(0,前提!$B$4-H31)</f>
        <v>29.3</v>
      </c>
      <c r="I33" s="24">
        <f>MAX(0,前提!$B$4-I31)</f>
        <v>46.3</v>
      </c>
      <c r="J33" s="24">
        <f>MAX(0,前提!$B$4-J31)</f>
        <v>51.3</v>
      </c>
      <c r="K33" s="24">
        <f>MAX(0,前提!$B$4-K31)</f>
        <v>56.3</v>
      </c>
      <c r="L33" s="24">
        <f>MAX(0,前提!$B$4-L31)</f>
        <v>61.3</v>
      </c>
      <c r="M33" s="24">
        <f>MAX(0,前提!$B$4-M31)</f>
        <v>66.3</v>
      </c>
      <c r="N33" s="24">
        <f>MAX(0,前提!$B$4-N31)</f>
        <v>71.3</v>
      </c>
      <c r="O33" s="24">
        <f>MAX(0,前提!$B$4-O31)</f>
        <v>76.3</v>
      </c>
      <c r="P33" s="24">
        <f>MAX(0,前提!$B$4-P31)</f>
        <v>81.3</v>
      </c>
      <c r="Q33" s="24">
        <f>MAX(0,前提!$B$4-Q31)</f>
        <v>86.3</v>
      </c>
      <c r="R33" s="24">
        <f>MAX(0,前提!$B$4-R31)</f>
        <v>91.3</v>
      </c>
      <c r="S33" s="24" t="n"/>
    </row>
    <row r="34">
      <c r="A34" s="6" t="inlineStr">
        <is>
          <t>累計案件支出</t>
        </is>
      </c>
      <c r="C34" s="23">
        <f>-SUM($C30:C30)</f>
        <v>30.0</v>
      </c>
      <c r="D34" s="23">
        <f>-SUM($C30:D30)</f>
        <v>55.8</v>
      </c>
      <c r="E34" s="23">
        <f>-SUM($C30:E30)</f>
        <v>245.6</v>
      </c>
      <c r="F34" s="23">
        <f>-SUM($C30:F30)</f>
        <v>257.6</v>
      </c>
      <c r="G34" s="23">
        <f>-SUM($C30:G30)</f>
        <v>257.6</v>
      </c>
      <c r="H34" s="23">
        <f>-SUM($C30:H30)</f>
        <v>257.6</v>
      </c>
      <c r="I34" s="23">
        <f>-SUM($C30:I30)</f>
        <v>269.6</v>
      </c>
      <c r="J34" s="23">
        <f>-SUM($C30:J30)</f>
        <v>269.6</v>
      </c>
      <c r="K34" s="23">
        <f>-SUM($C30:K30)</f>
        <v>269.6</v>
      </c>
      <c r="L34" s="23">
        <f>-SUM($C30:L30)</f>
        <v>269.6</v>
      </c>
      <c r="M34" s="23">
        <f>-SUM($C30:M30)</f>
        <v>269.6</v>
      </c>
      <c r="N34" s="23">
        <f>-SUM($C30:N30)</f>
        <v>269.6</v>
      </c>
      <c r="O34" s="23">
        <f>-SUM($C30:O30)</f>
        <v>269.6</v>
      </c>
      <c r="P34" s="23">
        <f>-SUM($C30:P30)</f>
        <v>269.6</v>
      </c>
      <c r="Q34" s="23">
        <f>-SUM($C30:Q30)</f>
        <v>269.6</v>
      </c>
      <c r="R34" s="23">
        <f>-SUM($C30:R30)</f>
        <v>269.6</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269.6</v>
      </c>
    </row>
    <row r="40">
      <c r="A40" s="6" t="inlineStr">
        <is>
          <t>最低残高</t>
        </is>
      </c>
      <c r="B40" s="20">
        <f>MIN(C31:R31)</f>
        <v>8.7</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91.3</v>
      </c>
    </row>
    <row r="44">
      <c r="A44" s="6" t="inlineStr">
        <is>
          <t>2026/11までの不足</t>
        </is>
      </c>
      <c r="B44" s="20">
        <f>E33</f>
        <v>0.3</v>
      </c>
    </row>
    <row r="45">
      <c r="A45" s="6" t="inlineStr">
        <is>
          <t>2027/1までの不足</t>
        </is>
      </c>
      <c r="B45" s="20">
        <f>G33</f>
        <v>24.3</v>
      </c>
    </row>
    <row r="46">
      <c r="A46" s="6" t="inlineStr">
        <is>
          <t>2027/3までの不足</t>
        </is>
      </c>
      <c r="B46" s="20">
        <f>I33</f>
        <v>46.3</v>
      </c>
    </row>
    <row r="47">
      <c r="A47" s="6" t="inlineStr">
        <is>
          <t>2027/12 期末現預金</t>
        </is>
      </c>
      <c r="B47" s="20">
        <f>R31</f>
        <v>8.7</v>
      </c>
    </row>
    <row r="48">
      <c r="A48" s="6" t="inlineStr">
        <is>
          <t>年換算売上（オーガニック＋実行案件）</t>
        </is>
      </c>
      <c r="B48" s="25">
        <f>前提!$B$5+SUMPRODUCT($B$6:$B$14,案件一覧!$D$4:$D$12)</f>
        <v>2143</v>
      </c>
    </row>
    <row r="49">
      <c r="A49" s="6" t="inlineStr">
        <is>
          <t>年換算 調整後EBITDA（現状）</t>
        </is>
      </c>
      <c r="B49" s="25">
        <f>前提!$B$6+SUMPRODUCT($B$6:$B$14,案件一覧!$E$4:$E$12)</f>
        <v>142</v>
      </c>
    </row>
    <row r="50">
      <c r="A50" s="6" t="inlineStr">
        <is>
          <t>年換算 調整後EBITDA（改善後）</t>
        </is>
      </c>
      <c r="B50" s="25">
        <f>前提!$B$6+SUMPRODUCT($B$6:$B$14,案件一覧!$F$4:$F$12)</f>
        <v>190</v>
      </c>
    </row>
    <row r="51">
      <c r="A51" s="6" t="inlineStr">
        <is>
          <t>承継・残置負債</t>
        </is>
      </c>
      <c r="B51" s="20">
        <f>SUMPRODUCT($B$6:$B$14,案件一覧!$G$4:$G$12)</f>
        <v>44.85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302.45</v>
      </c>
      <c r="F18" s="20">
        <f>E31</f>
        <v>230.95</v>
      </c>
      <c r="G18" s="20">
        <f>F31</f>
        <v>142.2</v>
      </c>
      <c r="H18" s="20">
        <f>G31</f>
        <v>137.2</v>
      </c>
      <c r="I18" s="20">
        <f>H31</f>
        <v>132.2</v>
      </c>
      <c r="J18" s="20">
        <f>I31</f>
        <v>115.2</v>
      </c>
      <c r="K18" s="20">
        <f>J31</f>
        <v>110.2</v>
      </c>
      <c r="L18" s="20">
        <f>K31</f>
        <v>105.2</v>
      </c>
      <c r="M18" s="20">
        <f>L31</f>
        <v>100.2</v>
      </c>
      <c r="N18" s="20">
        <f>M31</f>
        <v>95.2</v>
      </c>
      <c r="O18" s="20">
        <f>N31</f>
        <v>90.2</v>
      </c>
      <c r="P18" s="20">
        <f>O31</f>
        <v>85.2</v>
      </c>
      <c r="Q18" s="20">
        <f>P31</f>
        <v>80.2</v>
      </c>
      <c r="R18" s="20">
        <f>Q31</f>
        <v>75.2</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-19.85</v>
      </c>
      <c r="E30" s="20">
        <f>SUM(E21:E29)</f>
        <v>-64.5</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-208.1</v>
      </c>
    </row>
    <row r="31">
      <c r="A31" s="4" t="inlineStr">
        <is>
          <t>期末現預金</t>
        </is>
      </c>
      <c r="C31" s="21">
        <f>C18+C19+C30</f>
        <v>329.3</v>
      </c>
      <c r="D31" s="21">
        <f>D18+D19+D30</f>
        <v>302.45</v>
      </c>
      <c r="E31" s="21">
        <f>E18+E19+E30</f>
        <v>230.95</v>
      </c>
      <c r="F31" s="21">
        <f>F18+F19+F30</f>
        <v>142.2</v>
      </c>
      <c r="G31" s="21">
        <f>G18+G19+G30</f>
        <v>137.2</v>
      </c>
      <c r="H31" s="21">
        <f>H18+H19+H30</f>
        <v>132.2</v>
      </c>
      <c r="I31" s="21">
        <f>I18+I19+I30</f>
        <v>115.2</v>
      </c>
      <c r="J31" s="21">
        <f>J18+J19+J30</f>
        <v>110.2</v>
      </c>
      <c r="K31" s="21">
        <f>K18+K19+K30</f>
        <v>105.2</v>
      </c>
      <c r="L31" s="21">
        <f>L18+L19+L30</f>
        <v>100.2</v>
      </c>
      <c r="M31" s="21">
        <f>M18+M19+M30</f>
        <v>95.2</v>
      </c>
      <c r="N31" s="21">
        <f>N18+N19+N30</f>
        <v>90.2</v>
      </c>
      <c r="O31" s="21">
        <f>O18+O19+O30</f>
        <v>85.2</v>
      </c>
      <c r="P31" s="21">
        <f>P18+P19+P30</f>
        <v>80.2</v>
      </c>
      <c r="Q31" s="21">
        <f>Q18+Q19+Q30</f>
        <v>75.2</v>
      </c>
      <c r="R31" s="21">
        <f>R18+R19+R30</f>
        <v>70.2</v>
      </c>
      <c r="S31" s="21" t="n"/>
    </row>
    <row r="32">
      <c r="A32" s="6" t="inlineStr">
        <is>
          <t>安全水準との差</t>
        </is>
      </c>
      <c r="C32" s="23">
        <f>C31-前提!$B$4</f>
        <v>229.3</v>
      </c>
      <c r="D32" s="23">
        <f>D31-前提!$B$4</f>
        <v>202.45</v>
      </c>
      <c r="E32" s="23">
        <f>E31-前提!$B$4</f>
        <v>130.95</v>
      </c>
      <c r="F32" s="23">
        <f>F31-前提!$B$4</f>
        <v>42.2</v>
      </c>
      <c r="G32" s="23">
        <f>G31-前提!$B$4</f>
        <v>37.2</v>
      </c>
      <c r="H32" s="23">
        <f>H31-前提!$B$4</f>
        <v>32.2</v>
      </c>
      <c r="I32" s="23">
        <f>I31-前提!$B$4</f>
        <v>15.2</v>
      </c>
      <c r="J32" s="23">
        <f>J31-前提!$B$4</f>
        <v>10.2</v>
      </c>
      <c r="K32" s="23">
        <f>K31-前提!$B$4</f>
        <v>5.2</v>
      </c>
      <c r="L32" s="23">
        <f>L31-前提!$B$4</f>
        <v>0.2</v>
      </c>
      <c r="M32" s="23">
        <f>M31-前提!$B$4</f>
        <v>-4.8</v>
      </c>
      <c r="N32" s="23">
        <f>N31-前提!$B$4</f>
        <v>-9.8</v>
      </c>
      <c r="O32" s="23">
        <f>O31-前提!$B$4</f>
        <v>-14.8</v>
      </c>
      <c r="P32" s="23">
        <f>P31-前提!$B$4</f>
        <v>-19.8</v>
      </c>
      <c r="Q32" s="23">
        <f>Q31-前提!$B$4</f>
        <v>-24.8</v>
      </c>
      <c r="R32" s="23">
        <f>R31-前提!$B$4</f>
        <v>-29.8</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4.8</v>
      </c>
      <c r="N33" s="24">
        <f>MAX(0,前提!$B$4-N31)</f>
        <v>9.8</v>
      </c>
      <c r="O33" s="24">
        <f>MAX(0,前提!$B$4-O31)</f>
        <v>14.8</v>
      </c>
      <c r="P33" s="24">
        <f>MAX(0,前提!$B$4-P31)</f>
        <v>19.8</v>
      </c>
      <c r="Q33" s="24">
        <f>MAX(0,前提!$B$4-Q31)</f>
        <v>24.8</v>
      </c>
      <c r="R33" s="24">
        <f>MAX(0,前提!$B$4-R31)</f>
        <v>29.8</v>
      </c>
      <c r="S33" s="24" t="n"/>
    </row>
    <row r="34">
      <c r="A34" s="6" t="inlineStr">
        <is>
          <t>累計案件支出</t>
        </is>
      </c>
      <c r="C34" s="23">
        <f>-SUM($C30:C30)</f>
        <v>30.0</v>
      </c>
      <c r="D34" s="23">
        <f>-SUM($C30:D30)</f>
        <v>49.85</v>
      </c>
      <c r="E34" s="23">
        <f>-SUM($C30:E30)</f>
        <v>114.35</v>
      </c>
      <c r="F34" s="23">
        <f>-SUM($C30:F30)</f>
        <v>196.1</v>
      </c>
      <c r="G34" s="23">
        <f>-SUM($C30:G30)</f>
        <v>196.1</v>
      </c>
      <c r="H34" s="23">
        <f>-SUM($C30:H30)</f>
        <v>196.1</v>
      </c>
      <c r="I34" s="23">
        <f>-SUM($C30:I30)</f>
        <v>208.1</v>
      </c>
      <c r="J34" s="23">
        <f>-SUM($C30:J30)</f>
        <v>208.1</v>
      </c>
      <c r="K34" s="23">
        <f>-SUM($C30:K30)</f>
        <v>208.1</v>
      </c>
      <c r="L34" s="23">
        <f>-SUM($C30:L30)</f>
        <v>208.1</v>
      </c>
      <c r="M34" s="23">
        <f>-SUM($C30:M30)</f>
        <v>208.1</v>
      </c>
      <c r="N34" s="23">
        <f>-SUM($C30:N30)</f>
        <v>208.1</v>
      </c>
      <c r="O34" s="23">
        <f>-SUM($C30:O30)</f>
        <v>208.1</v>
      </c>
      <c r="P34" s="23">
        <f>-SUM($C30:P30)</f>
        <v>208.1</v>
      </c>
      <c r="Q34" s="23">
        <f>-SUM($C30:Q30)</f>
        <v>208.1</v>
      </c>
      <c r="R34" s="23">
        <f>-SUM($C30:R30)</f>
        <v>208.1</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208.1</v>
      </c>
    </row>
    <row r="40">
      <c r="A40" s="6" t="inlineStr">
        <is>
          <t>最低残高</t>
        </is>
      </c>
      <c r="B40" s="20">
        <f>MIN(C31:R31)</f>
        <v>70.2</v>
      </c>
    </row>
    <row r="41">
      <c r="A41" s="6" t="inlineStr">
        <is>
          <t>最低残高の月</t>
        </is>
      </c>
      <c r="B41" s="4" t="str">
        <f>INDEX($C$17:$R$17,MATCH(B40,C31:R31,0))</f>
        <v>2027/12</v>
      </c>
    </row>
    <row r="42">
      <c r="A42" s="6" t="inlineStr">
        <is>
          <t>初めて安全水準を割る月</t>
        </is>
      </c>
      <c r="B42" s="4" t="str">
        <f>IFERROR(INDEX($C$17:$R$17,MATCH(1,C35:R35,0)),"—")</f>
        <v>2027/7</v>
      </c>
    </row>
    <row r="43">
      <c r="A43" s="6" t="inlineStr">
        <is>
          <t>必要調達額（2027/12まで）</t>
        </is>
      </c>
      <c r="B43" s="20">
        <f>MAX(C33:R33)</f>
        <v>29.8</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70.2</v>
      </c>
    </row>
    <row r="48">
      <c r="A48" s="6" t="inlineStr">
        <is>
          <t>年換算売上（オーガニック＋実行案件）</t>
        </is>
      </c>
      <c r="B48" s="25">
        <f>前提!$B$5+SUMPRODUCT($B$6:$B$14,案件一覧!$D$4:$D$12)</f>
        <v>2108</v>
      </c>
    </row>
    <row r="49">
      <c r="A49" s="6" t="inlineStr">
        <is>
          <t>年換算 調整後EBITDA（現状）</t>
        </is>
      </c>
      <c r="B49" s="25">
        <f>前提!$B$6+SUMPRODUCT($B$6:$B$14,案件一覧!$E$4:$E$12)</f>
        <v>124</v>
      </c>
    </row>
    <row r="50">
      <c r="A50" s="6" t="inlineStr">
        <is>
          <t>年換算 調整後EBITDA（改善後）</t>
        </is>
      </c>
      <c r="B50" s="25">
        <f>前提!$B$6+SUMPRODUCT($B$6:$B$14,案件一覧!$F$4:$F$12)</f>
        <v>149</v>
      </c>
    </row>
    <row r="51">
      <c r="A51" s="6" t="inlineStr">
        <is>
          <t>承継・残置負債</t>
        </is>
      </c>
      <c r="B51" s="20">
        <f>SUMPRODUCT($B$6:$B$14,案件一覧!$G$4:$G$12)</f>
        <v>105.25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6.2</v>
      </c>
      <c r="H18" s="20">
        <f>G31</f>
        <v>1.2</v>
      </c>
      <c r="I18" s="20">
        <f>H31</f>
        <v>-3.8</v>
      </c>
      <c r="J18" s="20">
        <f>I31</f>
        <v>-20.8</v>
      </c>
      <c r="K18" s="20">
        <f>J31</f>
        <v>-25.8</v>
      </c>
      <c r="L18" s="20">
        <f>K31</f>
        <v>-30.8</v>
      </c>
      <c r="M18" s="20">
        <f>L31</f>
        <v>-35.8</v>
      </c>
      <c r="N18" s="20">
        <f>M31</f>
        <v>-40.8</v>
      </c>
      <c r="O18" s="20">
        <f>N31</f>
        <v>-45.8</v>
      </c>
      <c r="P18" s="20">
        <f>O31</f>
        <v>-50.8</v>
      </c>
      <c r="Q18" s="20">
        <f>P31</f>
        <v>-55.8</v>
      </c>
      <c r="R18" s="20">
        <f>Q31</f>
        <v>-60.8</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-344.1</v>
      </c>
    </row>
    <row r="31">
      <c r="A31" s="4" t="inlineStr">
        <is>
          <t>期末現預金</t>
        </is>
      </c>
      <c r="C31" s="21">
        <f>C18+C19+C30</f>
        <v>329.3</v>
      </c>
      <c r="D31" s="21">
        <f>D18+D19+D30</f>
        <v>293.75</v>
      </c>
      <c r="E31" s="21">
        <f>E18+E19+E30</f>
        <v>94.95</v>
      </c>
      <c r="F31" s="21">
        <f>F18+F19+F30</f>
        <v>6.2</v>
      </c>
      <c r="G31" s="21">
        <f>G18+G19+G30</f>
        <v>1.2</v>
      </c>
      <c r="H31" s="21">
        <f>H18+H19+H30</f>
        <v>-3.8</v>
      </c>
      <c r="I31" s="21">
        <f>I18+I19+I30</f>
        <v>-20.8</v>
      </c>
      <c r="J31" s="21">
        <f>J18+J19+J30</f>
        <v>-25.8</v>
      </c>
      <c r="K31" s="21">
        <f>K18+K19+K30</f>
        <v>-30.8</v>
      </c>
      <c r="L31" s="21">
        <f>L18+L19+L30</f>
        <v>-35.8</v>
      </c>
      <c r="M31" s="21">
        <f>M18+M19+M30</f>
        <v>-40.8</v>
      </c>
      <c r="N31" s="21">
        <f>N18+N19+N30</f>
        <v>-45.8</v>
      </c>
      <c r="O31" s="21">
        <f>O18+O19+O30</f>
        <v>-50.8</v>
      </c>
      <c r="P31" s="21">
        <f>P18+P19+P30</f>
        <v>-55.8</v>
      </c>
      <c r="Q31" s="21">
        <f>Q18+Q19+Q30</f>
        <v>-60.8</v>
      </c>
      <c r="R31" s="21">
        <f>R18+R19+R30</f>
        <v>-65.8</v>
      </c>
      <c r="S31" s="21" t="n"/>
    </row>
    <row r="32">
      <c r="A32" s="6" t="inlineStr">
        <is>
          <t>安全水準との差</t>
        </is>
      </c>
      <c r="C32" s="23">
        <f>C31-前提!$B$4</f>
        <v>229.3</v>
      </c>
      <c r="D32" s="23">
        <f>D31-前提!$B$4</f>
        <v>193.75</v>
      </c>
      <c r="E32" s="23">
        <f>E31-前提!$B$4</f>
        <v>-5.05</v>
      </c>
      <c r="F32" s="23">
        <f>F31-前提!$B$4</f>
        <v>-93.8</v>
      </c>
      <c r="G32" s="23">
        <f>G31-前提!$B$4</f>
        <v>-98.8</v>
      </c>
      <c r="H32" s="23">
        <f>H31-前提!$B$4</f>
        <v>-103.8</v>
      </c>
      <c r="I32" s="23">
        <f>I31-前提!$B$4</f>
        <v>-120.8</v>
      </c>
      <c r="J32" s="23">
        <f>J31-前提!$B$4</f>
        <v>-125.8</v>
      </c>
      <c r="K32" s="23">
        <f>K31-前提!$B$4</f>
        <v>-130.8</v>
      </c>
      <c r="L32" s="23">
        <f>L31-前提!$B$4</f>
        <v>-135.8</v>
      </c>
      <c r="M32" s="23">
        <f>M31-前提!$B$4</f>
        <v>-140.8</v>
      </c>
      <c r="N32" s="23">
        <f>N31-前提!$B$4</f>
        <v>-145.8</v>
      </c>
      <c r="O32" s="23">
        <f>O31-前提!$B$4</f>
        <v>-150.8</v>
      </c>
      <c r="P32" s="23">
        <f>P31-前提!$B$4</f>
        <v>-155.8</v>
      </c>
      <c r="Q32" s="23">
        <f>Q31-前提!$B$4</f>
        <v>-160.8</v>
      </c>
      <c r="R32" s="23">
        <f>R31-前提!$B$4</f>
        <v>-165.8</v>
      </c>
      <c r="S32" s="23" t="n"/>
    </row>
    <row r="33">
      <c r="A33" s="4" t="inlineStr">
        <is>
          <t>必要調達額（安全水準を維持するための不足額）</t>
        </is>
      </c>
      <c r="C33" s="24">
        <f>MAX(0,前提!$B$4-C31)</f>
        <v>0</v>
      </c>
      <c r="D33" s="24">
        <f>MAX(0,前提!$B$4-D31)</f>
        <v>0</v>
      </c>
      <c r="E33" s="24">
        <f>MAX(0,前提!$B$4-E31)</f>
        <v>5.05</v>
      </c>
      <c r="F33" s="24">
        <f>MAX(0,前提!$B$4-F31)</f>
        <v>93.8</v>
      </c>
      <c r="G33" s="24">
        <f>MAX(0,前提!$B$4-G31)</f>
        <v>98.8</v>
      </c>
      <c r="H33" s="24">
        <f>MAX(0,前提!$B$4-H31)</f>
        <v>103.8</v>
      </c>
      <c r="I33" s="24">
        <f>MAX(0,前提!$B$4-I31)</f>
        <v>120.8</v>
      </c>
      <c r="J33" s="24">
        <f>MAX(0,前提!$B$4-J31)</f>
        <v>125.8</v>
      </c>
      <c r="K33" s="24">
        <f>MAX(0,前提!$B$4-K31)</f>
        <v>130.8</v>
      </c>
      <c r="L33" s="24">
        <f>MAX(0,前提!$B$4-L31)</f>
        <v>135.8</v>
      </c>
      <c r="M33" s="24">
        <f>MAX(0,前提!$B$4-M31)</f>
        <v>140.8</v>
      </c>
      <c r="N33" s="24">
        <f>MAX(0,前提!$B$4-N31)</f>
        <v>145.8</v>
      </c>
      <c r="O33" s="24">
        <f>MAX(0,前提!$B$4-O31)</f>
        <v>150.8</v>
      </c>
      <c r="P33" s="24">
        <f>MAX(0,前提!$B$4-P31)</f>
        <v>155.8</v>
      </c>
      <c r="Q33" s="24">
        <f>MAX(0,前提!$B$4-Q31)</f>
        <v>160.8</v>
      </c>
      <c r="R33" s="24">
        <f>MAX(0,前提!$B$4-R31)</f>
        <v>165.8</v>
      </c>
      <c r="S33" s="24" t="n"/>
    </row>
    <row r="34">
      <c r="A34" s="6" t="inlineStr">
        <is>
          <t>累計案件支出</t>
        </is>
      </c>
      <c r="C34" s="23">
        <f>-SUM($C30:C30)</f>
        <v>30.0</v>
      </c>
      <c r="D34" s="23">
        <f>-SUM($C30:D30)</f>
        <v>58.55</v>
      </c>
      <c r="E34" s="23">
        <f>-SUM($C30:E30)</f>
        <v>250.35</v>
      </c>
      <c r="F34" s="23">
        <f>-SUM($C30:F30)</f>
        <v>332.1</v>
      </c>
      <c r="G34" s="23">
        <f>-SUM($C30:G30)</f>
        <v>332.1</v>
      </c>
      <c r="H34" s="23">
        <f>-SUM($C30:H30)</f>
        <v>332.1</v>
      </c>
      <c r="I34" s="23">
        <f>-SUM($C30:I30)</f>
        <v>344.1</v>
      </c>
      <c r="J34" s="23">
        <f>-SUM($C30:J30)</f>
        <v>344.1</v>
      </c>
      <c r="K34" s="23">
        <f>-SUM($C30:K30)</f>
        <v>344.1</v>
      </c>
      <c r="L34" s="23">
        <f>-SUM($C30:L30)</f>
        <v>344.1</v>
      </c>
      <c r="M34" s="23">
        <f>-SUM($C30:M30)</f>
        <v>344.1</v>
      </c>
      <c r="N34" s="23">
        <f>-SUM($C30:N30)</f>
        <v>344.1</v>
      </c>
      <c r="O34" s="23">
        <f>-SUM($C30:O30)</f>
        <v>344.1</v>
      </c>
      <c r="P34" s="23">
        <f>-SUM($C30:P30)</f>
        <v>344.1</v>
      </c>
      <c r="Q34" s="23">
        <f>-SUM($C30:Q30)</f>
        <v>344.1</v>
      </c>
      <c r="R34" s="23">
        <f>-SUM($C30:R30)</f>
        <v>344.1</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344.1</v>
      </c>
    </row>
    <row r="40">
      <c r="A40" s="6" t="inlineStr">
        <is>
          <t>最低残高</t>
        </is>
      </c>
      <c r="B40" s="20">
        <f>MIN(C31:R31)</f>
        <v>-65.8</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165.8</v>
      </c>
    </row>
    <row r="44">
      <c r="A44" s="6" t="inlineStr">
        <is>
          <t>2026/11までの不足</t>
        </is>
      </c>
      <c r="B44" s="20">
        <f>E33</f>
        <v>5.05</v>
      </c>
    </row>
    <row r="45">
      <c r="A45" s="6" t="inlineStr">
        <is>
          <t>2027/1までの不足</t>
        </is>
      </c>
      <c r="B45" s="20">
        <f>G33</f>
        <v>98.8</v>
      </c>
    </row>
    <row r="46">
      <c r="A46" s="6" t="inlineStr">
        <is>
          <t>2027/3までの不足</t>
        </is>
      </c>
      <c r="B46" s="20">
        <f>I33</f>
        <v>120.8</v>
      </c>
    </row>
    <row r="47">
      <c r="A47" s="6" t="inlineStr">
        <is>
          <t>2027/12 期末現預金</t>
        </is>
      </c>
      <c r="B47" s="20">
        <f>R31</f>
        <v>-65.8</v>
      </c>
    </row>
    <row r="48">
      <c r="A48" s="6" t="inlineStr">
        <is>
          <t>年換算売上（オーガニック＋実行案件）</t>
        </is>
      </c>
      <c r="B48" s="25">
        <f>前提!$B$5+SUMPRODUCT($B$6:$B$14,案件一覧!$D$4:$D$12)</f>
        <v>2593</v>
      </c>
    </row>
    <row r="49">
      <c r="A49" s="6" t="inlineStr">
        <is>
          <t>年換算 調整後EBITDA（現状）</t>
        </is>
      </c>
      <c r="B49" s="25">
        <f>前提!$B$6+SUMPRODUCT($B$6:$B$14,案件一覧!$E$4:$E$12)</f>
        <v>162</v>
      </c>
    </row>
    <row r="50">
      <c r="A50" s="6" t="inlineStr">
        <is>
          <t>年換算 調整後EBITDA（改善後）</t>
        </is>
      </c>
      <c r="B50" s="25">
        <f>前提!$B$6+SUMPRODUCT($B$6:$B$14,案件一覧!$F$4:$F$12)</f>
        <v>215</v>
      </c>
    </row>
    <row r="51">
      <c r="A51" s="6" t="inlineStr">
        <is>
          <t>承継・残置負債</t>
        </is>
      </c>
      <c r="B51" s="20">
        <f>SUMPRODUCT($B$6:$B$14,案件一覧!$G$4:$G$12)</f>
        <v>105.25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1.45</v>
      </c>
      <c r="H18" s="20">
        <f>G31</f>
        <v>-91.3</v>
      </c>
      <c r="I18" s="20">
        <f>H31</f>
        <v>-98.4</v>
      </c>
      <c r="J18" s="20">
        <f>I31</f>
        <v>-170.9</v>
      </c>
      <c r="K18" s="20">
        <f>J31</f>
        <v>-175.9</v>
      </c>
      <c r="L18" s="20">
        <f>K31</f>
        <v>-180.9</v>
      </c>
      <c r="M18" s="20">
        <f>L31</f>
        <v>-185.9</v>
      </c>
      <c r="N18" s="20">
        <f>M31</f>
        <v>-190.9</v>
      </c>
      <c r="O18" s="20">
        <f>N31</f>
        <v>-195.9</v>
      </c>
      <c r="P18" s="20">
        <f>O31</f>
        <v>-200.9</v>
      </c>
      <c r="Q18" s="20">
        <f>P31</f>
        <v>-205.9</v>
      </c>
      <c r="R18" s="20">
        <f>Q31</f>
        <v>-210.9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-86.5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-494.2</v>
      </c>
    </row>
    <row r="31">
      <c r="A31" s="4" t="inlineStr">
        <is>
          <t>期末現預金</t>
        </is>
      </c>
      <c r="C31" s="21">
        <f>C18+C19+C30</f>
        <v>329.3</v>
      </c>
      <c r="D31" s="21">
        <f>D18+D19+D30</f>
        <v>293.75</v>
      </c>
      <c r="E31" s="21">
        <f>E18+E19+E30</f>
        <v>94.95</v>
      </c>
      <c r="F31" s="21">
        <f>F18+F19+F30</f>
        <v>1.45</v>
      </c>
      <c r="G31" s="21">
        <f>G18+G19+G30</f>
        <v>-91.3</v>
      </c>
      <c r="H31" s="21">
        <f>H18+H19+H30</f>
        <v>-98.4</v>
      </c>
      <c r="I31" s="21">
        <f>I18+I19+I30</f>
        <v>-170.9</v>
      </c>
      <c r="J31" s="21">
        <f>J18+J19+J30</f>
        <v>-175.9</v>
      </c>
      <c r="K31" s="21">
        <f>K18+K19+K30</f>
        <v>-180.9</v>
      </c>
      <c r="L31" s="21">
        <f>L18+L19+L30</f>
        <v>-185.9</v>
      </c>
      <c r="M31" s="21">
        <f>M18+M19+M30</f>
        <v>-190.9</v>
      </c>
      <c r="N31" s="21">
        <f>N18+N19+N30</f>
        <v>-195.9</v>
      </c>
      <c r="O31" s="21">
        <f>O18+O19+O30</f>
        <v>-200.9</v>
      </c>
      <c r="P31" s="21">
        <f>P18+P19+P30</f>
        <v>-205.9</v>
      </c>
      <c r="Q31" s="21">
        <f>Q18+Q19+Q30</f>
        <v>-210.9</v>
      </c>
      <c r="R31" s="21">
        <f>R18+R19+R30</f>
        <v>-215.9</v>
      </c>
      <c r="S31" s="21" t="n"/>
    </row>
    <row r="32">
      <c r="A32" s="6" t="inlineStr">
        <is>
          <t>安全水準との差</t>
        </is>
      </c>
      <c r="C32" s="23">
        <f>C31-前提!$B$4</f>
        <v>229.3</v>
      </c>
      <c r="D32" s="23">
        <f>D31-前提!$B$4</f>
        <v>193.75</v>
      </c>
      <c r="E32" s="23">
        <f>E31-前提!$B$4</f>
        <v>-5.05</v>
      </c>
      <c r="F32" s="23">
        <f>F31-前提!$B$4</f>
        <v>-98.55</v>
      </c>
      <c r="G32" s="23">
        <f>G31-前提!$B$4</f>
        <v>-191.3</v>
      </c>
      <c r="H32" s="23">
        <f>H31-前提!$B$4</f>
        <v>-198.4</v>
      </c>
      <c r="I32" s="23">
        <f>I31-前提!$B$4</f>
        <v>-270.9</v>
      </c>
      <c r="J32" s="23">
        <f>J31-前提!$B$4</f>
        <v>-275.9</v>
      </c>
      <c r="K32" s="23">
        <f>K31-前提!$B$4</f>
        <v>-280.9</v>
      </c>
      <c r="L32" s="23">
        <f>L31-前提!$B$4</f>
        <v>-285.9</v>
      </c>
      <c r="M32" s="23">
        <f>M31-前提!$B$4</f>
        <v>-290.9</v>
      </c>
      <c r="N32" s="23">
        <f>N31-前提!$B$4</f>
        <v>-295.9</v>
      </c>
      <c r="O32" s="23">
        <f>O31-前提!$B$4</f>
        <v>-300.9</v>
      </c>
      <c r="P32" s="23">
        <f>P31-前提!$B$4</f>
        <v>-305.9</v>
      </c>
      <c r="Q32" s="23">
        <f>Q31-前提!$B$4</f>
        <v>-310.9</v>
      </c>
      <c r="R32" s="23">
        <f>R31-前提!$B$4</f>
        <v>-315.9</v>
      </c>
      <c r="S32" s="23" t="n"/>
    </row>
    <row r="33">
      <c r="A33" s="4" t="inlineStr">
        <is>
          <t>必要調達額（安全水準を維持するための不足額）</t>
        </is>
      </c>
      <c r="C33" s="24">
        <f>MAX(0,前提!$B$4-C31)</f>
        <v>0</v>
      </c>
      <c r="D33" s="24">
        <f>MAX(0,前提!$B$4-D31)</f>
        <v>0</v>
      </c>
      <c r="E33" s="24">
        <f>MAX(0,前提!$B$4-E31)</f>
        <v>5.05</v>
      </c>
      <c r="F33" s="24">
        <f>MAX(0,前提!$B$4-F31)</f>
        <v>98.55</v>
      </c>
      <c r="G33" s="24">
        <f>MAX(0,前提!$B$4-G31)</f>
        <v>191.3</v>
      </c>
      <c r="H33" s="24">
        <f>MAX(0,前提!$B$4-H31)</f>
        <v>198.4</v>
      </c>
      <c r="I33" s="24">
        <f>MAX(0,前提!$B$4-I31)</f>
        <v>270.9</v>
      </c>
      <c r="J33" s="24">
        <f>MAX(0,前提!$B$4-J31)</f>
        <v>275.9</v>
      </c>
      <c r="K33" s="24">
        <f>MAX(0,前提!$B$4-K31)</f>
        <v>280.9</v>
      </c>
      <c r="L33" s="24">
        <f>MAX(0,前提!$B$4-L31)</f>
        <v>285.9</v>
      </c>
      <c r="M33" s="24">
        <f>MAX(0,前提!$B$4-M31)</f>
        <v>290.9</v>
      </c>
      <c r="N33" s="24">
        <f>MAX(0,前提!$B$4-N31)</f>
        <v>295.9</v>
      </c>
      <c r="O33" s="24">
        <f>MAX(0,前提!$B$4-O31)</f>
        <v>300.9</v>
      </c>
      <c r="P33" s="24">
        <f>MAX(0,前提!$B$4-P31)</f>
        <v>305.9</v>
      </c>
      <c r="Q33" s="24">
        <f>MAX(0,前提!$B$4-Q31)</f>
        <v>310.9</v>
      </c>
      <c r="R33" s="24">
        <f>MAX(0,前提!$B$4-R31)</f>
        <v>315.9</v>
      </c>
      <c r="S33" s="24" t="n"/>
    </row>
    <row r="34">
      <c r="A34" s="6" t="inlineStr">
        <is>
          <t>累計案件支出</t>
        </is>
      </c>
      <c r="C34" s="23">
        <f>-SUM($C30:C30)</f>
        <v>30.0</v>
      </c>
      <c r="D34" s="23">
        <f>-SUM($C30:D30)</f>
        <v>58.55</v>
      </c>
      <c r="E34" s="23">
        <f>-SUM($C30:E30)</f>
        <v>250.35</v>
      </c>
      <c r="F34" s="23">
        <f>-SUM($C30:F30)</f>
        <v>336.85</v>
      </c>
      <c r="G34" s="23">
        <f>-SUM($C30:G30)</f>
        <v>424.6</v>
      </c>
      <c r="H34" s="23">
        <f>-SUM($C30:H30)</f>
        <v>426.7</v>
      </c>
      <c r="I34" s="23">
        <f>-SUM($C30:I30)</f>
        <v>494.2</v>
      </c>
      <c r="J34" s="23">
        <f>-SUM($C30:J30)</f>
        <v>494.2</v>
      </c>
      <c r="K34" s="23">
        <f>-SUM($C30:K30)</f>
        <v>494.2</v>
      </c>
      <c r="L34" s="23">
        <f>-SUM($C30:L30)</f>
        <v>494.2</v>
      </c>
      <c r="M34" s="23">
        <f>-SUM($C30:M30)</f>
        <v>494.2</v>
      </c>
      <c r="N34" s="23">
        <f>-SUM($C30:N30)</f>
        <v>494.2</v>
      </c>
      <c r="O34" s="23">
        <f>-SUM($C30:O30)</f>
        <v>494.2</v>
      </c>
      <c r="P34" s="23">
        <f>-SUM($C30:P30)</f>
        <v>494.2</v>
      </c>
      <c r="Q34" s="23">
        <f>-SUM($C30:Q30)</f>
        <v>494.2</v>
      </c>
      <c r="R34" s="23">
        <f>-SUM($C30:R30)</f>
        <v>494.2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494.2</v>
      </c>
    </row>
    <row r="40">
      <c r="A40" s="6" t="inlineStr">
        <is>
          <t>最低残高</t>
        </is>
      </c>
      <c r="B40" s="20">
        <f>MIN(C31:R31)</f>
        <v>-215.9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315.9</v>
      </c>
    </row>
    <row r="44">
      <c r="A44" s="6" t="inlineStr">
        <is>
          <t>2026/11までの不足</t>
        </is>
      </c>
      <c r="B44" s="20">
        <f>E33</f>
        <v>5.05</v>
      </c>
    </row>
    <row r="45">
      <c r="A45" s="6" t="inlineStr">
        <is>
          <t>2027/1までの不足</t>
        </is>
      </c>
      <c r="B45" s="20">
        <f>G33</f>
        <v>191.3</v>
      </c>
    </row>
    <row r="46">
      <c r="A46" s="6" t="inlineStr">
        <is>
          <t>2027/3までの不足</t>
        </is>
      </c>
      <c r="B46" s="20">
        <f>I33</f>
        <v>270.9</v>
      </c>
    </row>
    <row r="47">
      <c r="A47" s="6" t="inlineStr">
        <is>
          <t>2027/12 期末現預金</t>
        </is>
      </c>
      <c r="B47" s="20">
        <f>R31</f>
        <v>-215.9</v>
      </c>
    </row>
    <row r="48">
      <c r="A48" s="6" t="inlineStr">
        <is>
          <t>年換算売上（オーガニック＋実行案件）</t>
        </is>
      </c>
      <c r="B48" s="25">
        <f>前提!$B$5+SUMPRODUCT($B$6:$B$14,案件一覧!$D$4:$D$12)</f>
        <v>3111</v>
      </c>
    </row>
    <row r="49">
      <c r="A49" s="6" t="inlineStr">
        <is>
          <t>年換算 調整後EBITDA（現状）</t>
        </is>
      </c>
      <c r="B49" s="25">
        <f>前提!$B$6+SUMPRODUCT($B$6:$B$14,案件一覧!$E$4:$E$12)</f>
        <v>182</v>
      </c>
    </row>
    <row r="50">
      <c r="A50" s="6" t="inlineStr">
        <is>
          <t>年換算 調整後EBITDA（改善後）</t>
        </is>
      </c>
      <c r="B50" s="25">
        <f>前提!$B$6+SUMPRODUCT($B$6:$B$14,案件一覧!$F$4:$F$12)</f>
        <v>255</v>
      </c>
    </row>
    <row r="51">
      <c r="A51" s="6" t="inlineStr">
        <is>
          <t>承継・残置負債</t>
        </is>
      </c>
      <c r="B51" s="20">
        <f>SUMPRODUCT($B$6:$B$14,案件一覧!$G$4:$G$12)</f>
        <v>138.15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S6 全件＋シルバーメディカル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0">
        <f>SUMPRODUCT($B$6:$B$14,案件一覧!$G$4:$G$12)</f>
        <v>221.15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2026-09-23T08:19:52Z</dcterms:created>
  <dcterms:modified xsi:type="dcterms:W3CDTF">2026-09-23T08:19:52Z</dcterms:modified>
</cp:coreProperties>
</file>